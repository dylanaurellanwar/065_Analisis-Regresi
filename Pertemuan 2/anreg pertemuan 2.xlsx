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ylan\Documents\"/>
    </mc:Choice>
  </mc:AlternateContent>
  <xr:revisionPtr revIDLastSave="0" documentId="13_ncr:1_{22E826BD-BF73-4772-967E-871BDC15B4D1}" xr6:coauthVersionLast="47" xr6:coauthVersionMax="47" xr10:uidLastSave="{00000000-0000-0000-0000-000000000000}"/>
  <bookViews>
    <workbookView xWindow="-110" yWindow="-110" windowWidth="19420" windowHeight="11500" xr2:uid="{30D92C1E-4236-4CB7-8C13-74B28FFB15A7}"/>
  </bookViews>
  <sheets>
    <sheet name="Sheet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1" l="1"/>
  <c r="A127" i="1"/>
  <c r="B124" i="1"/>
  <c r="A124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E124" i="1" s="1"/>
  <c r="I2" i="1" s="1"/>
  <c r="D2" i="1"/>
  <c r="D124" i="1" s="1"/>
  <c r="I4" i="1" s="1"/>
  <c r="I6" i="1" l="1"/>
  <c r="I8" i="1" s="1"/>
</calcChain>
</file>

<file path=xl/sharedStrings.xml><?xml version="1.0" encoding="utf-8"?>
<sst xmlns="http://schemas.openxmlformats.org/spreadsheetml/2006/main" count="10" uniqueCount="8">
  <si>
    <t>Y</t>
  </si>
  <si>
    <t>X</t>
  </si>
  <si>
    <t>XX</t>
  </si>
  <si>
    <t>YX</t>
  </si>
  <si>
    <t>sxy</t>
  </si>
  <si>
    <t>sxx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</si>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</sst>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783464566929133E-3"/>
                  <c:y val="0.321315252260134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Sheet3!$K$2:$K$120</c:f>
              <c:numCache>
                <c:formatCode>General</c:formatCode>
                <c:ptCount val="119"/>
                <c:pt idx="0">
                  <c:v>9.26</c:v>
                </c:pt>
                <c:pt idx="1">
                  <c:v>11.95</c:v>
                </c:pt>
                <c:pt idx="2">
                  <c:v>11.99</c:v>
                </c:pt>
                <c:pt idx="3">
                  <c:v>11.61</c:v>
                </c:pt>
                <c:pt idx="4">
                  <c:v>11.24</c:v>
                </c:pt>
                <c:pt idx="5">
                  <c:v>10.85</c:v>
                </c:pt>
                <c:pt idx="6">
                  <c:v>8.89</c:v>
                </c:pt>
                <c:pt idx="7">
                  <c:v>7.75</c:v>
                </c:pt>
                <c:pt idx="8">
                  <c:v>7.91</c:v>
                </c:pt>
                <c:pt idx="9">
                  <c:v>9.4499999999999993</c:v>
                </c:pt>
                <c:pt idx="10">
                  <c:v>8.31</c:v>
                </c:pt>
                <c:pt idx="11">
                  <c:v>8.32</c:v>
                </c:pt>
                <c:pt idx="12">
                  <c:v>8.33</c:v>
                </c:pt>
                <c:pt idx="13">
                  <c:v>8.18</c:v>
                </c:pt>
                <c:pt idx="14">
                  <c:v>8.06</c:v>
                </c:pt>
                <c:pt idx="15">
                  <c:v>7.99</c:v>
                </c:pt>
                <c:pt idx="16">
                  <c:v>8.86</c:v>
                </c:pt>
                <c:pt idx="17">
                  <c:v>7.45</c:v>
                </c:pt>
                <c:pt idx="18">
                  <c:v>7.88</c:v>
                </c:pt>
                <c:pt idx="19">
                  <c:v>8.4</c:v>
                </c:pt>
                <c:pt idx="20">
                  <c:v>8.5399999999999991</c:v>
                </c:pt>
                <c:pt idx="21">
                  <c:v>10.19</c:v>
                </c:pt>
                <c:pt idx="22">
                  <c:v>8.57</c:v>
                </c:pt>
                <c:pt idx="23">
                  <c:v>8.4700000000000006</c:v>
                </c:pt>
                <c:pt idx="24">
                  <c:v>10.79</c:v>
                </c:pt>
                <c:pt idx="25">
                  <c:v>10.44</c:v>
                </c:pt>
                <c:pt idx="26">
                  <c:v>11.05</c:v>
                </c:pt>
                <c:pt idx="27">
                  <c:v>10.66</c:v>
                </c:pt>
                <c:pt idx="28">
                  <c:v>11.9</c:v>
                </c:pt>
                <c:pt idx="29">
                  <c:v>11.58</c:v>
                </c:pt>
                <c:pt idx="30">
                  <c:v>11.47</c:v>
                </c:pt>
                <c:pt idx="31">
                  <c:v>9.86</c:v>
                </c:pt>
                <c:pt idx="32">
                  <c:v>9.15</c:v>
                </c:pt>
                <c:pt idx="33">
                  <c:v>7.4</c:v>
                </c:pt>
                <c:pt idx="34">
                  <c:v>7.91</c:v>
                </c:pt>
                <c:pt idx="35">
                  <c:v>7.36</c:v>
                </c:pt>
                <c:pt idx="36">
                  <c:v>6.87</c:v>
                </c:pt>
                <c:pt idx="37">
                  <c:v>7.87</c:v>
                </c:pt>
                <c:pt idx="38">
                  <c:v>8.65</c:v>
                </c:pt>
                <c:pt idx="39">
                  <c:v>6.9</c:v>
                </c:pt>
                <c:pt idx="40">
                  <c:v>7.83</c:v>
                </c:pt>
                <c:pt idx="41">
                  <c:v>8.17</c:v>
                </c:pt>
                <c:pt idx="42">
                  <c:v>9.2899999999999991</c:v>
                </c:pt>
                <c:pt idx="43">
                  <c:v>10.01</c:v>
                </c:pt>
                <c:pt idx="44">
                  <c:v>7.68</c:v>
                </c:pt>
                <c:pt idx="45">
                  <c:v>9.26</c:v>
                </c:pt>
                <c:pt idx="46">
                  <c:v>7.88</c:v>
                </c:pt>
                <c:pt idx="47">
                  <c:v>7.29</c:v>
                </c:pt>
                <c:pt idx="48">
                  <c:v>7.26</c:v>
                </c:pt>
                <c:pt idx="49">
                  <c:v>7.73</c:v>
                </c:pt>
                <c:pt idx="50">
                  <c:v>7.82</c:v>
                </c:pt>
                <c:pt idx="51">
                  <c:v>9.35</c:v>
                </c:pt>
                <c:pt idx="52">
                  <c:v>8.27</c:v>
                </c:pt>
                <c:pt idx="53">
                  <c:v>8.2799999999999994</c:v>
                </c:pt>
                <c:pt idx="54">
                  <c:v>8.16</c:v>
                </c:pt>
                <c:pt idx="55">
                  <c:v>7.53</c:v>
                </c:pt>
                <c:pt idx="56">
                  <c:v>7.74</c:v>
                </c:pt>
                <c:pt idx="57">
                  <c:v>7.08</c:v>
                </c:pt>
                <c:pt idx="58">
                  <c:v>7.48</c:v>
                </c:pt>
                <c:pt idx="59">
                  <c:v>6.56</c:v>
                </c:pt>
                <c:pt idx="60">
                  <c:v>7.36</c:v>
                </c:pt>
                <c:pt idx="61">
                  <c:v>6.41</c:v>
                </c:pt>
                <c:pt idx="62">
                  <c:v>11.43</c:v>
                </c:pt>
                <c:pt idx="63">
                  <c:v>11.25</c:v>
                </c:pt>
                <c:pt idx="64">
                  <c:v>11.48</c:v>
                </c:pt>
                <c:pt idx="65">
                  <c:v>11.05</c:v>
                </c:pt>
                <c:pt idx="66">
                  <c:v>9.34</c:v>
                </c:pt>
                <c:pt idx="67">
                  <c:v>9.2799999999999994</c:v>
                </c:pt>
                <c:pt idx="68">
                  <c:v>9.1999999999999993</c:v>
                </c:pt>
                <c:pt idx="69">
                  <c:v>9.81</c:v>
                </c:pt>
                <c:pt idx="70">
                  <c:v>7.35</c:v>
                </c:pt>
                <c:pt idx="71">
                  <c:v>11.33</c:v>
                </c:pt>
                <c:pt idx="72">
                  <c:v>12.12</c:v>
                </c:pt>
                <c:pt idx="73">
                  <c:v>7.9</c:v>
                </c:pt>
                <c:pt idx="74">
                  <c:v>7.8</c:v>
                </c:pt>
                <c:pt idx="75">
                  <c:v>7.92</c:v>
                </c:pt>
                <c:pt idx="76">
                  <c:v>8.68</c:v>
                </c:pt>
                <c:pt idx="77">
                  <c:v>7.87</c:v>
                </c:pt>
                <c:pt idx="78">
                  <c:v>8.26</c:v>
                </c:pt>
                <c:pt idx="79">
                  <c:v>7.8</c:v>
                </c:pt>
                <c:pt idx="80">
                  <c:v>7.27</c:v>
                </c:pt>
                <c:pt idx="81">
                  <c:v>6.54</c:v>
                </c:pt>
                <c:pt idx="82">
                  <c:v>7.78</c:v>
                </c:pt>
                <c:pt idx="83">
                  <c:v>6.53</c:v>
                </c:pt>
                <c:pt idx="84">
                  <c:v>6.93</c:v>
                </c:pt>
                <c:pt idx="85">
                  <c:v>6.31</c:v>
                </c:pt>
                <c:pt idx="86">
                  <c:v>7.46</c:v>
                </c:pt>
                <c:pt idx="87">
                  <c:v>10.91</c:v>
                </c:pt>
                <c:pt idx="88">
                  <c:v>9.1300000000000008</c:v>
                </c:pt>
                <c:pt idx="89">
                  <c:v>8.7799999999999994</c:v>
                </c:pt>
                <c:pt idx="90">
                  <c:v>8.25</c:v>
                </c:pt>
                <c:pt idx="91">
                  <c:v>8.1999999999999993</c:v>
                </c:pt>
                <c:pt idx="92">
                  <c:v>8.69</c:v>
                </c:pt>
                <c:pt idx="93">
                  <c:v>7.84</c:v>
                </c:pt>
                <c:pt idx="94">
                  <c:v>7.59</c:v>
                </c:pt>
                <c:pt idx="95">
                  <c:v>7.53</c:v>
                </c:pt>
                <c:pt idx="96">
                  <c:v>8.48</c:v>
                </c:pt>
                <c:pt idx="97">
                  <c:v>10.029999999999999</c:v>
                </c:pt>
                <c:pt idx="98">
                  <c:v>6.01</c:v>
                </c:pt>
                <c:pt idx="99">
                  <c:v>5.08</c:v>
                </c:pt>
                <c:pt idx="100">
                  <c:v>7.17</c:v>
                </c:pt>
                <c:pt idx="101">
                  <c:v>6.1</c:v>
                </c:pt>
                <c:pt idx="102">
                  <c:v>10.92</c:v>
                </c:pt>
                <c:pt idx="103">
                  <c:v>10.82</c:v>
                </c:pt>
                <c:pt idx="104">
                  <c:v>11.14</c:v>
                </c:pt>
                <c:pt idx="105">
                  <c:v>9.7200000000000006</c:v>
                </c:pt>
                <c:pt idx="106">
                  <c:v>9.94</c:v>
                </c:pt>
                <c:pt idx="107">
                  <c:v>11.38</c:v>
                </c:pt>
                <c:pt idx="108">
                  <c:v>12.11</c:v>
                </c:pt>
                <c:pt idx="109">
                  <c:v>10.89</c:v>
                </c:pt>
                <c:pt idx="110">
                  <c:v>9.8699999999999992</c:v>
                </c:pt>
                <c:pt idx="111">
                  <c:v>7.16</c:v>
                </c:pt>
                <c:pt idx="112">
                  <c:v>6.61</c:v>
                </c:pt>
                <c:pt idx="113">
                  <c:v>9.06</c:v>
                </c:pt>
                <c:pt idx="114">
                  <c:v>7.88</c:v>
                </c:pt>
                <c:pt idx="115">
                  <c:v>11.14</c:v>
                </c:pt>
                <c:pt idx="116">
                  <c:v>10.39</c:v>
                </c:pt>
                <c:pt idx="117">
                  <c:v>8.93</c:v>
                </c:pt>
                <c:pt idx="118">
                  <c:v>11.86</c:v>
                </c:pt>
              </c:numCache>
            </c:numRef>
          </c:xVal>
          <c:yVal>
            <c:numRef>
              <c:f>Sheet3!$L$2:$L$120</c:f>
              <c:numCache>
                <c:formatCode>General</c:formatCode>
                <c:ptCount val="119"/>
                <c:pt idx="0">
                  <c:v>76.69</c:v>
                </c:pt>
                <c:pt idx="1">
                  <c:v>87.57</c:v>
                </c:pt>
                <c:pt idx="2">
                  <c:v>84.76</c:v>
                </c:pt>
                <c:pt idx="3">
                  <c:v>83.75</c:v>
                </c:pt>
                <c:pt idx="4">
                  <c:v>84.4</c:v>
                </c:pt>
                <c:pt idx="5">
                  <c:v>82.13</c:v>
                </c:pt>
                <c:pt idx="6">
                  <c:v>73.63</c:v>
                </c:pt>
                <c:pt idx="7">
                  <c:v>70.180000000000007</c:v>
                </c:pt>
                <c:pt idx="8">
                  <c:v>68.89</c:v>
                </c:pt>
                <c:pt idx="9">
                  <c:v>74.59</c:v>
                </c:pt>
                <c:pt idx="10">
                  <c:v>69.91</c:v>
                </c:pt>
                <c:pt idx="11">
                  <c:v>69.98</c:v>
                </c:pt>
                <c:pt idx="12">
                  <c:v>73.64</c:v>
                </c:pt>
                <c:pt idx="13">
                  <c:v>71.56</c:v>
                </c:pt>
                <c:pt idx="14">
                  <c:v>72.3</c:v>
                </c:pt>
                <c:pt idx="15">
                  <c:v>71.37</c:v>
                </c:pt>
                <c:pt idx="16">
                  <c:v>74.569999999999993</c:v>
                </c:pt>
                <c:pt idx="17">
                  <c:v>70.72</c:v>
                </c:pt>
                <c:pt idx="18">
                  <c:v>72.05</c:v>
                </c:pt>
                <c:pt idx="19">
                  <c:v>73.989999999999995</c:v>
                </c:pt>
                <c:pt idx="20">
                  <c:v>73.819999999999993</c:v>
                </c:pt>
                <c:pt idx="21">
                  <c:v>76.8</c:v>
                </c:pt>
                <c:pt idx="22">
                  <c:v>70.77</c:v>
                </c:pt>
                <c:pt idx="23">
                  <c:v>71.03</c:v>
                </c:pt>
                <c:pt idx="24">
                  <c:v>79.03</c:v>
                </c:pt>
                <c:pt idx="25">
                  <c:v>77.69</c:v>
                </c:pt>
                <c:pt idx="26">
                  <c:v>83.75</c:v>
                </c:pt>
                <c:pt idx="27">
                  <c:v>78.09</c:v>
                </c:pt>
                <c:pt idx="28">
                  <c:v>83.55</c:v>
                </c:pt>
                <c:pt idx="29">
                  <c:v>83.05</c:v>
                </c:pt>
                <c:pt idx="30">
                  <c:v>80.3</c:v>
                </c:pt>
                <c:pt idx="31">
                  <c:v>76.03</c:v>
                </c:pt>
                <c:pt idx="32">
                  <c:v>75.010000000000005</c:v>
                </c:pt>
                <c:pt idx="33">
                  <c:v>72.55</c:v>
                </c:pt>
                <c:pt idx="34">
                  <c:v>74.52</c:v>
                </c:pt>
                <c:pt idx="35">
                  <c:v>70.97</c:v>
                </c:pt>
                <c:pt idx="36">
                  <c:v>69.62</c:v>
                </c:pt>
                <c:pt idx="37">
                  <c:v>72.48</c:v>
                </c:pt>
                <c:pt idx="38">
                  <c:v>75.16</c:v>
                </c:pt>
                <c:pt idx="39">
                  <c:v>70.63</c:v>
                </c:pt>
                <c:pt idx="40">
                  <c:v>72.099999999999994</c:v>
                </c:pt>
                <c:pt idx="41">
                  <c:v>75.959999999999994</c:v>
                </c:pt>
                <c:pt idx="42">
                  <c:v>78.16</c:v>
                </c:pt>
                <c:pt idx="43">
                  <c:v>79.3</c:v>
                </c:pt>
                <c:pt idx="44">
                  <c:v>72.540000000000006</c:v>
                </c:pt>
                <c:pt idx="45">
                  <c:v>78.11</c:v>
                </c:pt>
                <c:pt idx="46">
                  <c:v>75.53</c:v>
                </c:pt>
                <c:pt idx="47">
                  <c:v>72.02</c:v>
                </c:pt>
                <c:pt idx="48">
                  <c:v>71.42</c:v>
                </c:pt>
                <c:pt idx="49">
                  <c:v>72.53</c:v>
                </c:pt>
                <c:pt idx="50">
                  <c:v>74.099999999999994</c:v>
                </c:pt>
                <c:pt idx="51">
                  <c:v>77.209999999999994</c:v>
                </c:pt>
                <c:pt idx="52">
                  <c:v>74.319999999999993</c:v>
                </c:pt>
                <c:pt idx="53">
                  <c:v>74.569999999999993</c:v>
                </c:pt>
                <c:pt idx="54">
                  <c:v>75.67</c:v>
                </c:pt>
                <c:pt idx="55">
                  <c:v>71.86</c:v>
                </c:pt>
                <c:pt idx="56">
                  <c:v>74.34</c:v>
                </c:pt>
                <c:pt idx="57">
                  <c:v>70.73</c:v>
                </c:pt>
                <c:pt idx="58">
                  <c:v>71.95</c:v>
                </c:pt>
                <c:pt idx="59">
                  <c:v>68.650000000000006</c:v>
                </c:pt>
                <c:pt idx="60">
                  <c:v>71.7</c:v>
                </c:pt>
                <c:pt idx="61">
                  <c:v>70.180000000000007</c:v>
                </c:pt>
                <c:pt idx="62">
                  <c:v>82.15</c:v>
                </c:pt>
                <c:pt idx="63">
                  <c:v>84.41</c:v>
                </c:pt>
                <c:pt idx="64">
                  <c:v>85.72</c:v>
                </c:pt>
                <c:pt idx="65">
                  <c:v>85.24</c:v>
                </c:pt>
                <c:pt idx="66">
                  <c:v>77.209999999999994</c:v>
                </c:pt>
                <c:pt idx="67">
                  <c:v>77.5</c:v>
                </c:pt>
                <c:pt idx="68">
                  <c:v>76.180000000000007</c:v>
                </c:pt>
                <c:pt idx="69">
                  <c:v>82.05</c:v>
                </c:pt>
                <c:pt idx="70">
                  <c:v>72.14</c:v>
                </c:pt>
                <c:pt idx="71">
                  <c:v>85.71</c:v>
                </c:pt>
                <c:pt idx="72">
                  <c:v>89.1</c:v>
                </c:pt>
                <c:pt idx="73">
                  <c:v>71.489999999999995</c:v>
                </c:pt>
                <c:pt idx="74">
                  <c:v>73.7</c:v>
                </c:pt>
                <c:pt idx="75">
                  <c:v>72.47</c:v>
                </c:pt>
                <c:pt idx="76">
                  <c:v>75.13</c:v>
                </c:pt>
                <c:pt idx="77">
                  <c:v>73.44</c:v>
                </c:pt>
                <c:pt idx="78">
                  <c:v>75.180000000000007</c:v>
                </c:pt>
                <c:pt idx="79">
                  <c:v>73.53</c:v>
                </c:pt>
                <c:pt idx="80">
                  <c:v>70.31</c:v>
                </c:pt>
                <c:pt idx="81">
                  <c:v>70.930000000000007</c:v>
                </c:pt>
                <c:pt idx="82">
                  <c:v>74.3</c:v>
                </c:pt>
                <c:pt idx="83">
                  <c:v>71.22</c:v>
                </c:pt>
                <c:pt idx="84">
                  <c:v>71.22</c:v>
                </c:pt>
                <c:pt idx="85">
                  <c:v>70.849999999999994</c:v>
                </c:pt>
                <c:pt idx="86">
                  <c:v>72.36</c:v>
                </c:pt>
                <c:pt idx="87">
                  <c:v>82.67</c:v>
                </c:pt>
                <c:pt idx="88">
                  <c:v>76.69</c:v>
                </c:pt>
                <c:pt idx="89">
                  <c:v>75.67</c:v>
                </c:pt>
                <c:pt idx="90">
                  <c:v>75.239999999999995</c:v>
                </c:pt>
                <c:pt idx="91">
                  <c:v>74.81</c:v>
                </c:pt>
                <c:pt idx="92">
                  <c:v>76.77</c:v>
                </c:pt>
                <c:pt idx="93">
                  <c:v>73.91</c:v>
                </c:pt>
                <c:pt idx="94">
                  <c:v>72.75</c:v>
                </c:pt>
                <c:pt idx="95">
                  <c:v>72.31</c:v>
                </c:pt>
                <c:pt idx="96">
                  <c:v>75.900000000000006</c:v>
                </c:pt>
                <c:pt idx="97">
                  <c:v>78.930000000000007</c:v>
                </c:pt>
                <c:pt idx="98">
                  <c:v>67.33</c:v>
                </c:pt>
                <c:pt idx="99">
                  <c:v>66.72</c:v>
                </c:pt>
                <c:pt idx="100">
                  <c:v>70.849999999999994</c:v>
                </c:pt>
                <c:pt idx="101">
                  <c:v>69.78</c:v>
                </c:pt>
                <c:pt idx="102">
                  <c:v>81.88</c:v>
                </c:pt>
                <c:pt idx="103">
                  <c:v>81.44</c:v>
                </c:pt>
                <c:pt idx="104">
                  <c:v>84.68</c:v>
                </c:pt>
                <c:pt idx="105">
                  <c:v>77.790000000000006</c:v>
                </c:pt>
                <c:pt idx="106">
                  <c:v>78.900000000000006</c:v>
                </c:pt>
                <c:pt idx="107">
                  <c:v>81.760000000000005</c:v>
                </c:pt>
                <c:pt idx="108">
                  <c:v>84.51</c:v>
                </c:pt>
                <c:pt idx="109">
                  <c:v>84.69</c:v>
                </c:pt>
                <c:pt idx="110">
                  <c:v>79.69</c:v>
                </c:pt>
                <c:pt idx="111">
                  <c:v>70.88</c:v>
                </c:pt>
                <c:pt idx="112">
                  <c:v>68.33</c:v>
                </c:pt>
                <c:pt idx="113">
                  <c:v>76.19</c:v>
                </c:pt>
                <c:pt idx="114">
                  <c:v>73.28</c:v>
                </c:pt>
                <c:pt idx="115">
                  <c:v>81.53</c:v>
                </c:pt>
                <c:pt idx="116">
                  <c:v>78.83</c:v>
                </c:pt>
                <c:pt idx="117">
                  <c:v>76.900000000000006</c:v>
                </c:pt>
                <c:pt idx="118">
                  <c:v>84.16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14-46B5-9154-099AD92BB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803344"/>
        <c:axId val="246796624"/>
      </c:scatterChart>
      <c:valAx>
        <c:axId val="2468033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96624"/>
        <c:crosses val="autoZero"/>
        <c:crossBetween val="midCat"/>
      </c:valAx>
      <c:valAx>
        <c:axId val="2467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0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2</xdr:row>
      <xdr:rowOff>0</xdr:rowOff>
    </xdr:from>
    <xdr:to>
      <xdr:col>20</xdr:col>
      <xdr:colOff>95250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A0E77-1F74-4B2F-B2C0-7A12A7FCE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ylan\Downloads\NSC-2025.xlsx" TargetMode="External"/><Relationship Id="rId1" Type="http://schemas.openxmlformats.org/officeDocument/2006/relationships/externalLinkPath" Target="/Users/dylan/Downloads/NSC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Sheet1"/>
    </sheetNames>
    <sheetDataSet>
      <sheetData sheetId="0" refreshError="1"/>
      <sheetData sheetId="1">
        <row r="1">
          <cell r="L1" t="str">
            <v>Y</v>
          </cell>
        </row>
        <row r="2">
          <cell r="K2">
            <v>9.26</v>
          </cell>
          <cell r="L2">
            <v>76.69</v>
          </cell>
        </row>
        <row r="3">
          <cell r="K3">
            <v>11.95</v>
          </cell>
          <cell r="L3">
            <v>87.57</v>
          </cell>
        </row>
        <row r="4">
          <cell r="K4">
            <v>11.99</v>
          </cell>
          <cell r="L4">
            <v>84.76</v>
          </cell>
        </row>
        <row r="5">
          <cell r="K5">
            <v>11.61</v>
          </cell>
          <cell r="L5">
            <v>83.75</v>
          </cell>
        </row>
        <row r="6">
          <cell r="K6">
            <v>11.24</v>
          </cell>
          <cell r="L6">
            <v>84.4</v>
          </cell>
        </row>
        <row r="7">
          <cell r="K7">
            <v>10.85</v>
          </cell>
          <cell r="L7">
            <v>82.13</v>
          </cell>
        </row>
        <row r="8">
          <cell r="K8">
            <v>8.89</v>
          </cell>
          <cell r="L8">
            <v>73.63</v>
          </cell>
        </row>
        <row r="9">
          <cell r="K9">
            <v>7.75</v>
          </cell>
          <cell r="L9">
            <v>70.180000000000007</v>
          </cell>
        </row>
        <row r="10">
          <cell r="K10">
            <v>7.91</v>
          </cell>
          <cell r="L10">
            <v>68.89</v>
          </cell>
        </row>
        <row r="11">
          <cell r="K11">
            <v>9.4499999999999993</v>
          </cell>
          <cell r="L11">
            <v>74.59</v>
          </cell>
        </row>
        <row r="12">
          <cell r="K12">
            <v>8.31</v>
          </cell>
          <cell r="L12">
            <v>69.91</v>
          </cell>
        </row>
        <row r="13">
          <cell r="K13">
            <v>8.32</v>
          </cell>
          <cell r="L13">
            <v>69.98</v>
          </cell>
        </row>
        <row r="14">
          <cell r="K14">
            <v>8.33</v>
          </cell>
          <cell r="L14">
            <v>73.64</v>
          </cell>
        </row>
        <row r="15">
          <cell r="K15">
            <v>8.18</v>
          </cell>
          <cell r="L15">
            <v>71.56</v>
          </cell>
        </row>
        <row r="16">
          <cell r="K16">
            <v>8.06</v>
          </cell>
          <cell r="L16">
            <v>72.3</v>
          </cell>
        </row>
        <row r="17">
          <cell r="K17">
            <v>7.99</v>
          </cell>
          <cell r="L17">
            <v>71.37</v>
          </cell>
        </row>
        <row r="18">
          <cell r="K18">
            <v>8.86</v>
          </cell>
          <cell r="L18">
            <v>74.569999999999993</v>
          </cell>
        </row>
        <row r="19">
          <cell r="K19">
            <v>7.45</v>
          </cell>
          <cell r="L19">
            <v>70.72</v>
          </cell>
        </row>
        <row r="20">
          <cell r="K20">
            <v>7.88</v>
          </cell>
          <cell r="L20">
            <v>72.05</v>
          </cell>
        </row>
        <row r="21">
          <cell r="K21">
            <v>8.4</v>
          </cell>
          <cell r="L21">
            <v>73.989999999999995</v>
          </cell>
        </row>
        <row r="22">
          <cell r="K22">
            <v>8.5399999999999991</v>
          </cell>
          <cell r="L22">
            <v>73.819999999999993</v>
          </cell>
        </row>
        <row r="23">
          <cell r="K23">
            <v>10.19</v>
          </cell>
          <cell r="L23">
            <v>76.8</v>
          </cell>
        </row>
        <row r="24">
          <cell r="K24">
            <v>8.57</v>
          </cell>
          <cell r="L24">
            <v>70.77</v>
          </cell>
        </row>
        <row r="25">
          <cell r="K25">
            <v>8.4700000000000006</v>
          </cell>
          <cell r="L25">
            <v>71.03</v>
          </cell>
        </row>
        <row r="26">
          <cell r="K26">
            <v>10.79</v>
          </cell>
          <cell r="L26">
            <v>79.03</v>
          </cell>
        </row>
        <row r="27">
          <cell r="K27">
            <v>10.44</v>
          </cell>
          <cell r="L27">
            <v>77.69</v>
          </cell>
        </row>
        <row r="28">
          <cell r="K28">
            <v>11.05</v>
          </cell>
          <cell r="L28">
            <v>83.75</v>
          </cell>
        </row>
        <row r="29">
          <cell r="K29">
            <v>10.66</v>
          </cell>
          <cell r="L29">
            <v>78.09</v>
          </cell>
        </row>
        <row r="30">
          <cell r="K30">
            <v>11.9</v>
          </cell>
          <cell r="L30">
            <v>83.55</v>
          </cell>
        </row>
        <row r="31">
          <cell r="K31">
            <v>11.58</v>
          </cell>
          <cell r="L31">
            <v>83.05</v>
          </cell>
        </row>
        <row r="32">
          <cell r="K32">
            <v>11.47</v>
          </cell>
          <cell r="L32">
            <v>80.3</v>
          </cell>
        </row>
        <row r="33">
          <cell r="K33">
            <v>9.86</v>
          </cell>
          <cell r="L33">
            <v>76.03</v>
          </cell>
        </row>
        <row r="34">
          <cell r="K34">
            <v>9.15</v>
          </cell>
          <cell r="L34">
            <v>75.010000000000005</v>
          </cell>
        </row>
        <row r="35">
          <cell r="K35">
            <v>7.4</v>
          </cell>
          <cell r="L35">
            <v>72.55</v>
          </cell>
        </row>
        <row r="36">
          <cell r="K36">
            <v>7.91</v>
          </cell>
          <cell r="L36">
            <v>74.52</v>
          </cell>
        </row>
        <row r="37">
          <cell r="K37">
            <v>7.36</v>
          </cell>
          <cell r="L37">
            <v>70.97</v>
          </cell>
        </row>
        <row r="38">
          <cell r="K38">
            <v>6.87</v>
          </cell>
          <cell r="L38">
            <v>69.62</v>
          </cell>
        </row>
        <row r="39">
          <cell r="K39">
            <v>7.87</v>
          </cell>
          <cell r="L39">
            <v>72.48</v>
          </cell>
        </row>
        <row r="40">
          <cell r="K40">
            <v>8.65</v>
          </cell>
          <cell r="L40">
            <v>75.16</v>
          </cell>
        </row>
        <row r="41">
          <cell r="K41">
            <v>6.9</v>
          </cell>
          <cell r="L41">
            <v>70.63</v>
          </cell>
        </row>
        <row r="42">
          <cell r="K42">
            <v>7.83</v>
          </cell>
          <cell r="L42">
            <v>72.099999999999994</v>
          </cell>
        </row>
        <row r="43">
          <cell r="K43">
            <v>8.17</v>
          </cell>
          <cell r="L43">
            <v>75.959999999999994</v>
          </cell>
        </row>
        <row r="44">
          <cell r="K44">
            <v>9.2899999999999991</v>
          </cell>
          <cell r="L44">
            <v>78.16</v>
          </cell>
        </row>
        <row r="45">
          <cell r="K45">
            <v>10.01</v>
          </cell>
          <cell r="L45">
            <v>79.3</v>
          </cell>
        </row>
        <row r="46">
          <cell r="K46">
            <v>7.68</v>
          </cell>
          <cell r="L46">
            <v>72.540000000000006</v>
          </cell>
        </row>
        <row r="47">
          <cell r="K47">
            <v>9.26</v>
          </cell>
          <cell r="L47">
            <v>78.11</v>
          </cell>
        </row>
        <row r="48">
          <cell r="K48">
            <v>7.88</v>
          </cell>
          <cell r="L48">
            <v>75.53</v>
          </cell>
        </row>
        <row r="49">
          <cell r="K49">
            <v>7.29</v>
          </cell>
          <cell r="L49">
            <v>72.02</v>
          </cell>
        </row>
        <row r="50">
          <cell r="K50">
            <v>7.26</v>
          </cell>
          <cell r="L50">
            <v>71.42</v>
          </cell>
        </row>
        <row r="51">
          <cell r="K51">
            <v>7.73</v>
          </cell>
          <cell r="L51">
            <v>72.53</v>
          </cell>
        </row>
        <row r="52">
          <cell r="K52">
            <v>7.82</v>
          </cell>
          <cell r="L52">
            <v>74.099999999999994</v>
          </cell>
        </row>
        <row r="53">
          <cell r="K53">
            <v>9.35</v>
          </cell>
          <cell r="L53">
            <v>77.209999999999994</v>
          </cell>
        </row>
        <row r="54">
          <cell r="K54">
            <v>8.27</v>
          </cell>
          <cell r="L54">
            <v>74.319999999999993</v>
          </cell>
        </row>
        <row r="55">
          <cell r="K55">
            <v>8.2799999999999994</v>
          </cell>
          <cell r="L55">
            <v>74.569999999999993</v>
          </cell>
        </row>
        <row r="56">
          <cell r="K56">
            <v>8.16</v>
          </cell>
          <cell r="L56">
            <v>75.67</v>
          </cell>
        </row>
        <row r="57">
          <cell r="K57">
            <v>7.53</v>
          </cell>
          <cell r="L57">
            <v>71.86</v>
          </cell>
        </row>
        <row r="58">
          <cell r="K58">
            <v>7.74</v>
          </cell>
          <cell r="L58">
            <v>74.34</v>
          </cell>
        </row>
        <row r="59">
          <cell r="K59">
            <v>7.08</v>
          </cell>
          <cell r="L59">
            <v>70.73</v>
          </cell>
        </row>
        <row r="60">
          <cell r="K60">
            <v>7.48</v>
          </cell>
          <cell r="L60">
            <v>71.95</v>
          </cell>
        </row>
        <row r="61">
          <cell r="K61">
            <v>6.56</v>
          </cell>
          <cell r="L61">
            <v>68.650000000000006</v>
          </cell>
        </row>
        <row r="62">
          <cell r="K62">
            <v>7.36</v>
          </cell>
          <cell r="L62">
            <v>71.7</v>
          </cell>
        </row>
        <row r="63">
          <cell r="K63">
            <v>6.41</v>
          </cell>
          <cell r="L63">
            <v>70.180000000000007</v>
          </cell>
        </row>
        <row r="64">
          <cell r="K64">
            <v>11.43</v>
          </cell>
          <cell r="L64">
            <v>82.15</v>
          </cell>
        </row>
        <row r="65">
          <cell r="K65">
            <v>11.25</v>
          </cell>
          <cell r="L65">
            <v>84.41</v>
          </cell>
        </row>
        <row r="66">
          <cell r="K66">
            <v>11.48</v>
          </cell>
          <cell r="L66">
            <v>85.72</v>
          </cell>
        </row>
        <row r="67">
          <cell r="K67">
            <v>11.05</v>
          </cell>
          <cell r="L67">
            <v>85.24</v>
          </cell>
        </row>
        <row r="68">
          <cell r="K68">
            <v>9.34</v>
          </cell>
          <cell r="L68">
            <v>77.209999999999994</v>
          </cell>
        </row>
        <row r="69">
          <cell r="K69">
            <v>9.2799999999999994</v>
          </cell>
          <cell r="L69">
            <v>77.5</v>
          </cell>
        </row>
        <row r="70">
          <cell r="K70">
            <v>9.1999999999999993</v>
          </cell>
          <cell r="L70">
            <v>76.180000000000007</v>
          </cell>
        </row>
        <row r="71">
          <cell r="K71">
            <v>9.81</v>
          </cell>
          <cell r="L71">
            <v>82.05</v>
          </cell>
        </row>
        <row r="72">
          <cell r="K72">
            <v>7.35</v>
          </cell>
          <cell r="L72">
            <v>72.14</v>
          </cell>
        </row>
        <row r="73">
          <cell r="K73">
            <v>11.33</v>
          </cell>
          <cell r="L73">
            <v>85.71</v>
          </cell>
        </row>
        <row r="74">
          <cell r="K74">
            <v>12.12</v>
          </cell>
          <cell r="L74">
            <v>89.1</v>
          </cell>
        </row>
        <row r="75">
          <cell r="K75">
            <v>7.9</v>
          </cell>
          <cell r="L75">
            <v>71.489999999999995</v>
          </cell>
        </row>
        <row r="76">
          <cell r="K76">
            <v>7.8</v>
          </cell>
          <cell r="L76">
            <v>73.7</v>
          </cell>
        </row>
        <row r="77">
          <cell r="K77">
            <v>7.92</v>
          </cell>
          <cell r="L77">
            <v>72.47</v>
          </cell>
        </row>
        <row r="78">
          <cell r="K78">
            <v>8.68</v>
          </cell>
          <cell r="L78">
            <v>75.13</v>
          </cell>
        </row>
        <row r="79">
          <cell r="K79">
            <v>7.87</v>
          </cell>
          <cell r="L79">
            <v>73.44</v>
          </cell>
        </row>
        <row r="80">
          <cell r="K80">
            <v>8.26</v>
          </cell>
          <cell r="L80">
            <v>75.180000000000007</v>
          </cell>
        </row>
        <row r="81">
          <cell r="K81">
            <v>7.8</v>
          </cell>
          <cell r="L81">
            <v>73.53</v>
          </cell>
        </row>
        <row r="82">
          <cell r="K82">
            <v>7.27</v>
          </cell>
          <cell r="L82">
            <v>70.31</v>
          </cell>
        </row>
        <row r="83">
          <cell r="K83">
            <v>6.54</v>
          </cell>
          <cell r="L83">
            <v>70.930000000000007</v>
          </cell>
        </row>
        <row r="84">
          <cell r="K84">
            <v>7.78</v>
          </cell>
          <cell r="L84">
            <v>74.3</v>
          </cell>
        </row>
        <row r="85">
          <cell r="K85">
            <v>6.53</v>
          </cell>
          <cell r="L85">
            <v>71.22</v>
          </cell>
        </row>
        <row r="86">
          <cell r="K86">
            <v>6.93</v>
          </cell>
          <cell r="L86">
            <v>71.22</v>
          </cell>
        </row>
        <row r="87">
          <cell r="K87">
            <v>6.31</v>
          </cell>
          <cell r="L87">
            <v>70.849999999999994</v>
          </cell>
        </row>
        <row r="88">
          <cell r="K88">
            <v>7.46</v>
          </cell>
          <cell r="L88">
            <v>72.36</v>
          </cell>
        </row>
        <row r="89">
          <cell r="K89">
            <v>10.91</v>
          </cell>
          <cell r="L89">
            <v>82.67</v>
          </cell>
        </row>
        <row r="90">
          <cell r="K90">
            <v>9.1300000000000008</v>
          </cell>
          <cell r="L90">
            <v>76.69</v>
          </cell>
        </row>
        <row r="91">
          <cell r="K91">
            <v>8.7799999999999994</v>
          </cell>
          <cell r="L91">
            <v>75.67</v>
          </cell>
        </row>
        <row r="92">
          <cell r="K92">
            <v>8.25</v>
          </cell>
          <cell r="L92">
            <v>75.239999999999995</v>
          </cell>
        </row>
        <row r="93">
          <cell r="K93">
            <v>8.1999999999999993</v>
          </cell>
          <cell r="L93">
            <v>74.81</v>
          </cell>
        </row>
        <row r="94">
          <cell r="K94">
            <v>8.69</v>
          </cell>
          <cell r="L94">
            <v>76.77</v>
          </cell>
        </row>
        <row r="95">
          <cell r="K95">
            <v>7.84</v>
          </cell>
          <cell r="L95">
            <v>73.91</v>
          </cell>
        </row>
        <row r="96">
          <cell r="K96">
            <v>7.59</v>
          </cell>
          <cell r="L96">
            <v>72.75</v>
          </cell>
        </row>
        <row r="97">
          <cell r="K97">
            <v>7.53</v>
          </cell>
          <cell r="L97">
            <v>72.31</v>
          </cell>
        </row>
        <row r="98">
          <cell r="K98">
            <v>8.48</v>
          </cell>
          <cell r="L98">
            <v>75.900000000000006</v>
          </cell>
        </row>
        <row r="99">
          <cell r="K99">
            <v>10.029999999999999</v>
          </cell>
          <cell r="L99">
            <v>78.930000000000007</v>
          </cell>
        </row>
        <row r="100">
          <cell r="K100">
            <v>6.01</v>
          </cell>
          <cell r="L100">
            <v>67.33</v>
          </cell>
        </row>
        <row r="101">
          <cell r="K101">
            <v>5.08</v>
          </cell>
          <cell r="L101">
            <v>66.72</v>
          </cell>
        </row>
        <row r="102">
          <cell r="K102">
            <v>7.17</v>
          </cell>
          <cell r="L102">
            <v>70.849999999999994</v>
          </cell>
        </row>
        <row r="103">
          <cell r="K103">
            <v>6.1</v>
          </cell>
          <cell r="L103">
            <v>69.78</v>
          </cell>
        </row>
        <row r="104">
          <cell r="K104">
            <v>10.92</v>
          </cell>
          <cell r="L104">
            <v>81.88</v>
          </cell>
        </row>
        <row r="105">
          <cell r="K105">
            <v>10.82</v>
          </cell>
          <cell r="L105">
            <v>81.44</v>
          </cell>
        </row>
        <row r="106">
          <cell r="K106">
            <v>11.14</v>
          </cell>
          <cell r="L106">
            <v>84.68</v>
          </cell>
        </row>
        <row r="107">
          <cell r="K107">
            <v>9.7200000000000006</v>
          </cell>
          <cell r="L107">
            <v>77.790000000000006</v>
          </cell>
        </row>
        <row r="108">
          <cell r="K108">
            <v>9.94</v>
          </cell>
          <cell r="L108">
            <v>78.900000000000006</v>
          </cell>
        </row>
        <row r="109">
          <cell r="K109">
            <v>11.38</v>
          </cell>
          <cell r="L109">
            <v>81.760000000000005</v>
          </cell>
        </row>
        <row r="110">
          <cell r="K110">
            <v>12.11</v>
          </cell>
          <cell r="L110">
            <v>84.51</v>
          </cell>
        </row>
        <row r="111">
          <cell r="K111">
            <v>10.89</v>
          </cell>
          <cell r="L111">
            <v>84.69</v>
          </cell>
        </row>
        <row r="112">
          <cell r="K112">
            <v>9.8699999999999992</v>
          </cell>
          <cell r="L112">
            <v>79.69</v>
          </cell>
        </row>
        <row r="113">
          <cell r="K113">
            <v>7.16</v>
          </cell>
          <cell r="L113">
            <v>70.88</v>
          </cell>
        </row>
        <row r="114">
          <cell r="K114">
            <v>6.61</v>
          </cell>
          <cell r="L114">
            <v>68.33</v>
          </cell>
        </row>
        <row r="115">
          <cell r="K115">
            <v>9.06</v>
          </cell>
          <cell r="L115">
            <v>76.19</v>
          </cell>
        </row>
        <row r="116">
          <cell r="K116">
            <v>7.88</v>
          </cell>
          <cell r="L116">
            <v>73.28</v>
          </cell>
        </row>
        <row r="117">
          <cell r="K117">
            <v>11.14</v>
          </cell>
          <cell r="L117">
            <v>81.53</v>
          </cell>
        </row>
        <row r="118">
          <cell r="K118">
            <v>10.39</v>
          </cell>
          <cell r="L118">
            <v>78.83</v>
          </cell>
        </row>
        <row r="119">
          <cell r="K119">
            <v>8.93</v>
          </cell>
          <cell r="L119">
            <v>76.900000000000006</v>
          </cell>
        </row>
        <row r="120">
          <cell r="K120">
            <v>11.86</v>
          </cell>
          <cell r="L120">
            <v>84.16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11B0-2477-4FA7-B487-ED4534936C3C}">
  <dimension ref="A1:L127"/>
  <sheetViews>
    <sheetView tabSelected="1" workbookViewId="0">
      <selection activeCell="H18" sqref="H18"/>
    </sheetView>
  </sheetViews>
  <sheetFormatPr defaultRowHeight="12.5" x14ac:dyDescent="0.25"/>
  <sheetData>
    <row r="1" spans="1:12" ht="13" x14ac:dyDescent="0.3">
      <c r="A1" s="1" t="s">
        <v>0</v>
      </c>
      <c r="B1" s="2" t="s">
        <v>1</v>
      </c>
      <c r="D1" t="s">
        <v>2</v>
      </c>
      <c r="E1" t="s">
        <v>3</v>
      </c>
      <c r="K1" s="2" t="s">
        <v>1</v>
      </c>
      <c r="L1" s="1" t="s">
        <v>0</v>
      </c>
    </row>
    <row r="2" spans="1:12" x14ac:dyDescent="0.25">
      <c r="A2" s="3">
        <v>76.69</v>
      </c>
      <c r="B2" s="3">
        <v>9.26</v>
      </c>
      <c r="D2">
        <f>B2*B2</f>
        <v>85.747599999999991</v>
      </c>
      <c r="E2">
        <f>A2*B2</f>
        <v>710.14940000000001</v>
      </c>
      <c r="H2" t="s">
        <v>4</v>
      </c>
      <c r="I2">
        <f>E124-A124*B124/119</f>
        <v>917.66998235294886</v>
      </c>
      <c r="K2" s="3">
        <v>9.26</v>
      </c>
      <c r="L2" s="3">
        <v>76.69</v>
      </c>
    </row>
    <row r="3" spans="1:12" x14ac:dyDescent="0.25">
      <c r="A3" s="3">
        <v>87.57</v>
      </c>
      <c r="B3" s="3">
        <v>11.95</v>
      </c>
      <c r="D3">
        <f t="shared" ref="D3:D66" si="0">B3*B3</f>
        <v>142.80249999999998</v>
      </c>
      <c r="E3">
        <f t="shared" ref="E3:E66" si="1">A3*B3</f>
        <v>1046.4614999999999</v>
      </c>
      <c r="K3" s="3">
        <v>11.95</v>
      </c>
      <c r="L3" s="3">
        <v>87.57</v>
      </c>
    </row>
    <row r="4" spans="1:12" x14ac:dyDescent="0.25">
      <c r="A4" s="3">
        <v>84.76</v>
      </c>
      <c r="B4" s="3">
        <v>11.99</v>
      </c>
      <c r="D4">
        <f t="shared" si="0"/>
        <v>143.76009999999999</v>
      </c>
      <c r="E4">
        <f t="shared" si="1"/>
        <v>1016.2724000000001</v>
      </c>
      <c r="H4" t="s">
        <v>5</v>
      </c>
      <c r="I4">
        <f>D124-B124^2/119</f>
        <v>319.19214117648153</v>
      </c>
      <c r="K4" s="3">
        <v>11.99</v>
      </c>
      <c r="L4" s="3">
        <v>84.76</v>
      </c>
    </row>
    <row r="5" spans="1:12" x14ac:dyDescent="0.25">
      <c r="A5" s="3">
        <v>83.75</v>
      </c>
      <c r="B5" s="3">
        <v>11.61</v>
      </c>
      <c r="D5">
        <f t="shared" si="0"/>
        <v>134.79209999999998</v>
      </c>
      <c r="E5">
        <f t="shared" si="1"/>
        <v>972.33749999999998</v>
      </c>
      <c r="K5" s="3">
        <v>11.61</v>
      </c>
      <c r="L5" s="3">
        <v>83.75</v>
      </c>
    </row>
    <row r="6" spans="1:12" x14ac:dyDescent="0.25">
      <c r="A6" s="3">
        <v>84.4</v>
      </c>
      <c r="B6" s="3">
        <v>11.24</v>
      </c>
      <c r="D6">
        <f t="shared" si="0"/>
        <v>126.33760000000001</v>
      </c>
      <c r="E6">
        <f t="shared" si="1"/>
        <v>948.65600000000006</v>
      </c>
      <c r="H6" t="s">
        <v>6</v>
      </c>
      <c r="I6">
        <f>I2/I4</f>
        <v>2.874976742756234</v>
      </c>
      <c r="K6" s="3">
        <v>11.24</v>
      </c>
      <c r="L6" s="3">
        <v>84.4</v>
      </c>
    </row>
    <row r="7" spans="1:12" x14ac:dyDescent="0.25">
      <c r="A7" s="3">
        <v>82.13</v>
      </c>
      <c r="B7" s="3">
        <v>10.85</v>
      </c>
      <c r="D7">
        <f t="shared" si="0"/>
        <v>117.7225</v>
      </c>
      <c r="E7">
        <f t="shared" si="1"/>
        <v>891.11049999999989</v>
      </c>
      <c r="K7" s="3">
        <v>10.85</v>
      </c>
      <c r="L7" s="3">
        <v>82.13</v>
      </c>
    </row>
    <row r="8" spans="1:12" x14ac:dyDescent="0.25">
      <c r="A8" s="3">
        <v>73.63</v>
      </c>
      <c r="B8" s="3">
        <v>8.89</v>
      </c>
      <c r="D8">
        <f t="shared" si="0"/>
        <v>79.032100000000014</v>
      </c>
      <c r="E8">
        <f t="shared" si="1"/>
        <v>654.57069999999999</v>
      </c>
      <c r="H8" t="s">
        <v>7</v>
      </c>
      <c r="I8">
        <f>A127-B127*I6</f>
        <v>50.353325164084588</v>
      </c>
      <c r="K8" s="3">
        <v>8.89</v>
      </c>
      <c r="L8" s="3">
        <v>73.63</v>
      </c>
    </row>
    <row r="9" spans="1:12" x14ac:dyDescent="0.25">
      <c r="A9" s="3">
        <v>70.180000000000007</v>
      </c>
      <c r="B9" s="3">
        <v>7.75</v>
      </c>
      <c r="D9">
        <f t="shared" si="0"/>
        <v>60.0625</v>
      </c>
      <c r="E9">
        <f t="shared" si="1"/>
        <v>543.8950000000001</v>
      </c>
      <c r="K9" s="3">
        <v>7.75</v>
      </c>
      <c r="L9" s="3">
        <v>70.180000000000007</v>
      </c>
    </row>
    <row r="10" spans="1:12" x14ac:dyDescent="0.25">
      <c r="A10" s="3">
        <v>68.89</v>
      </c>
      <c r="B10" s="3">
        <v>7.91</v>
      </c>
      <c r="D10">
        <f t="shared" si="0"/>
        <v>62.568100000000001</v>
      </c>
      <c r="E10">
        <f t="shared" si="1"/>
        <v>544.91989999999998</v>
      </c>
      <c r="K10" s="3">
        <v>7.91</v>
      </c>
      <c r="L10" s="3">
        <v>68.89</v>
      </c>
    </row>
    <row r="11" spans="1:12" x14ac:dyDescent="0.25">
      <c r="A11" s="3">
        <v>74.59</v>
      </c>
      <c r="B11" s="3">
        <v>9.4499999999999993</v>
      </c>
      <c r="D11">
        <f t="shared" si="0"/>
        <v>89.302499999999981</v>
      </c>
      <c r="E11">
        <f t="shared" si="1"/>
        <v>704.87549999999999</v>
      </c>
      <c r="K11" s="3">
        <v>9.4499999999999993</v>
      </c>
      <c r="L11" s="3">
        <v>74.59</v>
      </c>
    </row>
    <row r="12" spans="1:12" x14ac:dyDescent="0.25">
      <c r="A12" s="3">
        <v>69.91</v>
      </c>
      <c r="B12" s="3">
        <v>8.31</v>
      </c>
      <c r="D12">
        <f t="shared" si="0"/>
        <v>69.056100000000015</v>
      </c>
      <c r="E12">
        <f t="shared" si="1"/>
        <v>580.95209999999997</v>
      </c>
      <c r="K12" s="3">
        <v>8.31</v>
      </c>
      <c r="L12" s="3">
        <v>69.91</v>
      </c>
    </row>
    <row r="13" spans="1:12" x14ac:dyDescent="0.25">
      <c r="A13" s="3">
        <v>69.98</v>
      </c>
      <c r="B13" s="3">
        <v>8.32</v>
      </c>
      <c r="D13">
        <f t="shared" si="0"/>
        <v>69.222400000000007</v>
      </c>
      <c r="E13">
        <f t="shared" si="1"/>
        <v>582.23360000000002</v>
      </c>
      <c r="K13" s="3">
        <v>8.32</v>
      </c>
      <c r="L13" s="3">
        <v>69.98</v>
      </c>
    </row>
    <row r="14" spans="1:12" x14ac:dyDescent="0.25">
      <c r="A14" s="3">
        <v>73.64</v>
      </c>
      <c r="B14" s="3">
        <v>8.33</v>
      </c>
      <c r="D14">
        <f t="shared" si="0"/>
        <v>69.388900000000007</v>
      </c>
      <c r="E14">
        <f t="shared" si="1"/>
        <v>613.4212</v>
      </c>
      <c r="K14" s="3">
        <v>8.33</v>
      </c>
      <c r="L14" s="3">
        <v>73.64</v>
      </c>
    </row>
    <row r="15" spans="1:12" x14ac:dyDescent="0.25">
      <c r="A15" s="3">
        <v>71.56</v>
      </c>
      <c r="B15" s="3">
        <v>8.18</v>
      </c>
      <c r="D15">
        <f t="shared" si="0"/>
        <v>66.912399999999991</v>
      </c>
      <c r="E15">
        <f t="shared" si="1"/>
        <v>585.36080000000004</v>
      </c>
      <c r="K15" s="3">
        <v>8.18</v>
      </c>
      <c r="L15" s="3">
        <v>71.56</v>
      </c>
    </row>
    <row r="16" spans="1:12" x14ac:dyDescent="0.25">
      <c r="A16" s="3">
        <v>72.3</v>
      </c>
      <c r="B16" s="3">
        <v>8.06</v>
      </c>
      <c r="D16">
        <f t="shared" si="0"/>
        <v>64.963600000000014</v>
      </c>
      <c r="E16">
        <f t="shared" si="1"/>
        <v>582.73800000000006</v>
      </c>
      <c r="K16" s="3">
        <v>8.06</v>
      </c>
      <c r="L16" s="3">
        <v>72.3</v>
      </c>
    </row>
    <row r="17" spans="1:12" x14ac:dyDescent="0.25">
      <c r="A17" s="3">
        <v>71.37</v>
      </c>
      <c r="B17" s="3">
        <v>7.99</v>
      </c>
      <c r="D17">
        <f t="shared" si="0"/>
        <v>63.840100000000007</v>
      </c>
      <c r="E17">
        <f t="shared" si="1"/>
        <v>570.24630000000002</v>
      </c>
      <c r="K17" s="3">
        <v>7.99</v>
      </c>
      <c r="L17" s="3">
        <v>71.37</v>
      </c>
    </row>
    <row r="18" spans="1:12" x14ac:dyDescent="0.25">
      <c r="A18" s="3">
        <v>74.569999999999993</v>
      </c>
      <c r="B18" s="3">
        <v>8.86</v>
      </c>
      <c r="D18">
        <f t="shared" si="0"/>
        <v>78.499599999999987</v>
      </c>
      <c r="E18">
        <f t="shared" si="1"/>
        <v>660.69019999999989</v>
      </c>
      <c r="K18" s="3">
        <v>8.86</v>
      </c>
      <c r="L18" s="3">
        <v>74.569999999999993</v>
      </c>
    </row>
    <row r="19" spans="1:12" x14ac:dyDescent="0.25">
      <c r="A19" s="3">
        <v>70.72</v>
      </c>
      <c r="B19" s="3">
        <v>7.45</v>
      </c>
      <c r="D19">
        <f t="shared" si="0"/>
        <v>55.502500000000005</v>
      </c>
      <c r="E19">
        <f t="shared" si="1"/>
        <v>526.86400000000003</v>
      </c>
      <c r="K19" s="3">
        <v>7.45</v>
      </c>
      <c r="L19" s="3">
        <v>70.72</v>
      </c>
    </row>
    <row r="20" spans="1:12" x14ac:dyDescent="0.25">
      <c r="A20" s="3">
        <v>72.05</v>
      </c>
      <c r="B20" s="3">
        <v>7.88</v>
      </c>
      <c r="D20">
        <f t="shared" si="0"/>
        <v>62.0944</v>
      </c>
      <c r="E20">
        <f t="shared" si="1"/>
        <v>567.75400000000002</v>
      </c>
      <c r="K20" s="3">
        <v>7.88</v>
      </c>
      <c r="L20" s="3">
        <v>72.05</v>
      </c>
    </row>
    <row r="21" spans="1:12" x14ac:dyDescent="0.25">
      <c r="A21" s="3">
        <v>73.989999999999995</v>
      </c>
      <c r="B21" s="3">
        <v>8.4</v>
      </c>
      <c r="D21">
        <f t="shared" si="0"/>
        <v>70.56</v>
      </c>
      <c r="E21">
        <f t="shared" si="1"/>
        <v>621.51599999999996</v>
      </c>
      <c r="K21" s="3">
        <v>8.4</v>
      </c>
      <c r="L21" s="3">
        <v>73.989999999999995</v>
      </c>
    </row>
    <row r="22" spans="1:12" x14ac:dyDescent="0.25">
      <c r="A22" s="3">
        <v>73.819999999999993</v>
      </c>
      <c r="B22" s="3">
        <v>8.5399999999999991</v>
      </c>
      <c r="D22">
        <f t="shared" si="0"/>
        <v>72.931599999999989</v>
      </c>
      <c r="E22">
        <f t="shared" si="1"/>
        <v>630.42279999999982</v>
      </c>
      <c r="K22" s="3">
        <v>8.5399999999999991</v>
      </c>
      <c r="L22" s="3">
        <v>73.819999999999993</v>
      </c>
    </row>
    <row r="23" spans="1:12" x14ac:dyDescent="0.25">
      <c r="A23" s="3">
        <v>76.8</v>
      </c>
      <c r="B23" s="3">
        <v>10.19</v>
      </c>
      <c r="D23">
        <f t="shared" si="0"/>
        <v>103.83609999999999</v>
      </c>
      <c r="E23">
        <f t="shared" si="1"/>
        <v>782.59199999999998</v>
      </c>
      <c r="K23" s="3">
        <v>10.19</v>
      </c>
      <c r="L23" s="3">
        <v>76.8</v>
      </c>
    </row>
    <row r="24" spans="1:12" x14ac:dyDescent="0.25">
      <c r="A24" s="3">
        <v>70.77</v>
      </c>
      <c r="B24" s="3">
        <v>8.57</v>
      </c>
      <c r="D24">
        <f t="shared" si="0"/>
        <v>73.444900000000004</v>
      </c>
      <c r="E24">
        <f t="shared" si="1"/>
        <v>606.49889999999994</v>
      </c>
      <c r="K24" s="3">
        <v>8.57</v>
      </c>
      <c r="L24" s="3">
        <v>70.77</v>
      </c>
    </row>
    <row r="25" spans="1:12" x14ac:dyDescent="0.25">
      <c r="A25" s="3">
        <v>71.03</v>
      </c>
      <c r="B25" s="3">
        <v>8.4700000000000006</v>
      </c>
      <c r="D25">
        <f t="shared" si="0"/>
        <v>71.740900000000011</v>
      </c>
      <c r="E25">
        <f t="shared" si="1"/>
        <v>601.6241</v>
      </c>
      <c r="K25" s="3">
        <v>8.4700000000000006</v>
      </c>
      <c r="L25" s="3">
        <v>71.03</v>
      </c>
    </row>
    <row r="26" spans="1:12" x14ac:dyDescent="0.25">
      <c r="A26" s="3">
        <v>79.03</v>
      </c>
      <c r="B26" s="3">
        <v>10.79</v>
      </c>
      <c r="D26">
        <f t="shared" si="0"/>
        <v>116.42409999999998</v>
      </c>
      <c r="E26">
        <f t="shared" si="1"/>
        <v>852.7337</v>
      </c>
      <c r="K26" s="3">
        <v>10.79</v>
      </c>
      <c r="L26" s="3">
        <v>79.03</v>
      </c>
    </row>
    <row r="27" spans="1:12" x14ac:dyDescent="0.25">
      <c r="A27" s="3">
        <v>77.69</v>
      </c>
      <c r="B27" s="3">
        <v>10.44</v>
      </c>
      <c r="D27">
        <f t="shared" si="0"/>
        <v>108.99359999999999</v>
      </c>
      <c r="E27">
        <f t="shared" si="1"/>
        <v>811.08359999999993</v>
      </c>
      <c r="K27" s="3">
        <v>10.44</v>
      </c>
      <c r="L27" s="3">
        <v>77.69</v>
      </c>
    </row>
    <row r="28" spans="1:12" x14ac:dyDescent="0.25">
      <c r="A28" s="3">
        <v>83.75</v>
      </c>
      <c r="B28" s="3">
        <v>11.05</v>
      </c>
      <c r="D28">
        <f t="shared" si="0"/>
        <v>122.10250000000002</v>
      </c>
      <c r="E28">
        <f t="shared" si="1"/>
        <v>925.43750000000011</v>
      </c>
      <c r="K28" s="3">
        <v>11.05</v>
      </c>
      <c r="L28" s="3">
        <v>83.75</v>
      </c>
    </row>
    <row r="29" spans="1:12" x14ac:dyDescent="0.25">
      <c r="A29" s="3">
        <v>78.09</v>
      </c>
      <c r="B29" s="3">
        <v>10.66</v>
      </c>
      <c r="D29">
        <f t="shared" si="0"/>
        <v>113.6356</v>
      </c>
      <c r="E29">
        <f t="shared" si="1"/>
        <v>832.43940000000009</v>
      </c>
      <c r="K29" s="3">
        <v>10.66</v>
      </c>
      <c r="L29" s="3">
        <v>78.09</v>
      </c>
    </row>
    <row r="30" spans="1:12" x14ac:dyDescent="0.25">
      <c r="A30" s="3">
        <v>83.55</v>
      </c>
      <c r="B30" s="3">
        <v>11.9</v>
      </c>
      <c r="D30">
        <f t="shared" si="0"/>
        <v>141.61000000000001</v>
      </c>
      <c r="E30">
        <f t="shared" si="1"/>
        <v>994.245</v>
      </c>
      <c r="K30" s="3">
        <v>11.9</v>
      </c>
      <c r="L30" s="3">
        <v>83.55</v>
      </c>
    </row>
    <row r="31" spans="1:12" x14ac:dyDescent="0.25">
      <c r="A31" s="3">
        <v>83.05</v>
      </c>
      <c r="B31" s="3">
        <v>11.58</v>
      </c>
      <c r="D31">
        <f t="shared" si="0"/>
        <v>134.09639999999999</v>
      </c>
      <c r="E31">
        <f t="shared" si="1"/>
        <v>961.71899999999994</v>
      </c>
      <c r="K31" s="3">
        <v>11.58</v>
      </c>
      <c r="L31" s="3">
        <v>83.05</v>
      </c>
    </row>
    <row r="32" spans="1:12" x14ac:dyDescent="0.25">
      <c r="A32" s="3">
        <v>80.3</v>
      </c>
      <c r="B32" s="3">
        <v>11.47</v>
      </c>
      <c r="D32">
        <f t="shared" si="0"/>
        <v>131.5609</v>
      </c>
      <c r="E32">
        <f t="shared" si="1"/>
        <v>921.04100000000005</v>
      </c>
      <c r="K32" s="3">
        <v>11.47</v>
      </c>
      <c r="L32" s="3">
        <v>80.3</v>
      </c>
    </row>
    <row r="33" spans="1:12" x14ac:dyDescent="0.25">
      <c r="A33" s="3">
        <v>76.03</v>
      </c>
      <c r="B33" s="3">
        <v>9.86</v>
      </c>
      <c r="D33">
        <f t="shared" si="0"/>
        <v>97.219599999999986</v>
      </c>
      <c r="E33">
        <f t="shared" si="1"/>
        <v>749.6558</v>
      </c>
      <c r="K33" s="3">
        <v>9.86</v>
      </c>
      <c r="L33" s="3">
        <v>76.03</v>
      </c>
    </row>
    <row r="34" spans="1:12" x14ac:dyDescent="0.25">
      <c r="A34" s="3">
        <v>75.010000000000005</v>
      </c>
      <c r="B34" s="3">
        <v>9.15</v>
      </c>
      <c r="D34">
        <f t="shared" si="0"/>
        <v>83.722500000000011</v>
      </c>
      <c r="E34">
        <f t="shared" si="1"/>
        <v>686.34150000000011</v>
      </c>
      <c r="K34" s="3">
        <v>9.15</v>
      </c>
      <c r="L34" s="3">
        <v>75.010000000000005</v>
      </c>
    </row>
    <row r="35" spans="1:12" x14ac:dyDescent="0.25">
      <c r="A35" s="3">
        <v>72.55</v>
      </c>
      <c r="B35" s="3">
        <v>7.4</v>
      </c>
      <c r="D35">
        <f t="shared" si="0"/>
        <v>54.760000000000005</v>
      </c>
      <c r="E35">
        <f t="shared" si="1"/>
        <v>536.87</v>
      </c>
      <c r="K35" s="3">
        <v>7.4</v>
      </c>
      <c r="L35" s="3">
        <v>72.55</v>
      </c>
    </row>
    <row r="36" spans="1:12" x14ac:dyDescent="0.25">
      <c r="A36" s="3">
        <v>74.52</v>
      </c>
      <c r="B36" s="3">
        <v>7.91</v>
      </c>
      <c r="D36">
        <f t="shared" si="0"/>
        <v>62.568100000000001</v>
      </c>
      <c r="E36">
        <f t="shared" si="1"/>
        <v>589.45319999999992</v>
      </c>
      <c r="K36" s="3">
        <v>7.91</v>
      </c>
      <c r="L36" s="3">
        <v>74.52</v>
      </c>
    </row>
    <row r="37" spans="1:12" x14ac:dyDescent="0.25">
      <c r="A37" s="3">
        <v>70.97</v>
      </c>
      <c r="B37" s="3">
        <v>7.36</v>
      </c>
      <c r="D37">
        <f t="shared" si="0"/>
        <v>54.169600000000003</v>
      </c>
      <c r="E37">
        <f t="shared" si="1"/>
        <v>522.33920000000001</v>
      </c>
      <c r="K37" s="3">
        <v>7.36</v>
      </c>
      <c r="L37" s="3">
        <v>70.97</v>
      </c>
    </row>
    <row r="38" spans="1:12" x14ac:dyDescent="0.25">
      <c r="A38" s="3">
        <v>69.62</v>
      </c>
      <c r="B38" s="3">
        <v>6.87</v>
      </c>
      <c r="D38">
        <f t="shared" si="0"/>
        <v>47.196899999999999</v>
      </c>
      <c r="E38">
        <f t="shared" si="1"/>
        <v>478.28940000000006</v>
      </c>
      <c r="K38" s="3">
        <v>6.87</v>
      </c>
      <c r="L38" s="3">
        <v>69.62</v>
      </c>
    </row>
    <row r="39" spans="1:12" x14ac:dyDescent="0.25">
      <c r="A39" s="3">
        <v>72.48</v>
      </c>
      <c r="B39" s="3">
        <v>7.87</v>
      </c>
      <c r="D39">
        <f t="shared" si="0"/>
        <v>61.936900000000001</v>
      </c>
      <c r="E39">
        <f t="shared" si="1"/>
        <v>570.41759999999999</v>
      </c>
      <c r="K39" s="3">
        <v>7.87</v>
      </c>
      <c r="L39" s="3">
        <v>72.48</v>
      </c>
    </row>
    <row r="40" spans="1:12" x14ac:dyDescent="0.25">
      <c r="A40" s="3">
        <v>75.16</v>
      </c>
      <c r="B40" s="3">
        <v>8.65</v>
      </c>
      <c r="D40">
        <f t="shared" si="0"/>
        <v>74.822500000000005</v>
      </c>
      <c r="E40">
        <f t="shared" si="1"/>
        <v>650.13400000000001</v>
      </c>
      <c r="K40" s="3">
        <v>8.65</v>
      </c>
      <c r="L40" s="3">
        <v>75.16</v>
      </c>
    </row>
    <row r="41" spans="1:12" x14ac:dyDescent="0.25">
      <c r="A41" s="3">
        <v>70.63</v>
      </c>
      <c r="B41" s="3">
        <v>6.9</v>
      </c>
      <c r="D41">
        <f t="shared" si="0"/>
        <v>47.610000000000007</v>
      </c>
      <c r="E41">
        <f t="shared" si="1"/>
        <v>487.34699999999998</v>
      </c>
      <c r="K41" s="3">
        <v>6.9</v>
      </c>
      <c r="L41" s="3">
        <v>70.63</v>
      </c>
    </row>
    <row r="42" spans="1:12" x14ac:dyDescent="0.25">
      <c r="A42" s="3">
        <v>72.099999999999994</v>
      </c>
      <c r="B42" s="3">
        <v>7.83</v>
      </c>
      <c r="D42">
        <f t="shared" si="0"/>
        <v>61.308900000000001</v>
      </c>
      <c r="E42">
        <f t="shared" si="1"/>
        <v>564.54300000000001</v>
      </c>
      <c r="K42" s="3">
        <v>7.83</v>
      </c>
      <c r="L42" s="3">
        <v>72.099999999999994</v>
      </c>
    </row>
    <row r="43" spans="1:12" x14ac:dyDescent="0.25">
      <c r="A43" s="3">
        <v>75.959999999999994</v>
      </c>
      <c r="B43" s="3">
        <v>8.17</v>
      </c>
      <c r="D43">
        <f t="shared" si="0"/>
        <v>66.748899999999992</v>
      </c>
      <c r="E43">
        <f t="shared" si="1"/>
        <v>620.59319999999991</v>
      </c>
      <c r="K43" s="3">
        <v>8.17</v>
      </c>
      <c r="L43" s="3">
        <v>75.959999999999994</v>
      </c>
    </row>
    <row r="44" spans="1:12" x14ac:dyDescent="0.25">
      <c r="A44" s="3">
        <v>78.16</v>
      </c>
      <c r="B44" s="3">
        <v>9.2899999999999991</v>
      </c>
      <c r="D44">
        <f t="shared" si="0"/>
        <v>86.304099999999991</v>
      </c>
      <c r="E44">
        <f t="shared" si="1"/>
        <v>726.10639999999989</v>
      </c>
      <c r="K44" s="3">
        <v>9.2899999999999991</v>
      </c>
      <c r="L44" s="3">
        <v>78.16</v>
      </c>
    </row>
    <row r="45" spans="1:12" x14ac:dyDescent="0.25">
      <c r="A45" s="3">
        <v>79.3</v>
      </c>
      <c r="B45" s="3">
        <v>10.01</v>
      </c>
      <c r="D45">
        <f t="shared" si="0"/>
        <v>100.20009999999999</v>
      </c>
      <c r="E45">
        <f t="shared" si="1"/>
        <v>793.79300000000001</v>
      </c>
      <c r="K45" s="3">
        <v>10.01</v>
      </c>
      <c r="L45" s="3">
        <v>79.3</v>
      </c>
    </row>
    <row r="46" spans="1:12" x14ac:dyDescent="0.25">
      <c r="A46" s="3">
        <v>72.540000000000006</v>
      </c>
      <c r="B46" s="3">
        <v>7.68</v>
      </c>
      <c r="D46">
        <f t="shared" si="0"/>
        <v>58.982399999999998</v>
      </c>
      <c r="E46">
        <f t="shared" si="1"/>
        <v>557.10720000000003</v>
      </c>
      <c r="K46" s="3">
        <v>7.68</v>
      </c>
      <c r="L46" s="3">
        <v>72.540000000000006</v>
      </c>
    </row>
    <row r="47" spans="1:12" x14ac:dyDescent="0.25">
      <c r="A47" s="3">
        <v>78.11</v>
      </c>
      <c r="B47" s="3">
        <v>9.26</v>
      </c>
      <c r="D47">
        <f t="shared" si="0"/>
        <v>85.747599999999991</v>
      </c>
      <c r="E47">
        <f t="shared" si="1"/>
        <v>723.29859999999996</v>
      </c>
      <c r="K47" s="3">
        <v>9.26</v>
      </c>
      <c r="L47" s="3">
        <v>78.11</v>
      </c>
    </row>
    <row r="48" spans="1:12" x14ac:dyDescent="0.25">
      <c r="A48" s="3">
        <v>75.53</v>
      </c>
      <c r="B48" s="3">
        <v>7.88</v>
      </c>
      <c r="D48">
        <f t="shared" si="0"/>
        <v>62.0944</v>
      </c>
      <c r="E48">
        <f t="shared" si="1"/>
        <v>595.17639999999994</v>
      </c>
      <c r="K48" s="3">
        <v>7.88</v>
      </c>
      <c r="L48" s="3">
        <v>75.53</v>
      </c>
    </row>
    <row r="49" spans="1:12" x14ac:dyDescent="0.25">
      <c r="A49" s="3">
        <v>72.02</v>
      </c>
      <c r="B49" s="3">
        <v>7.29</v>
      </c>
      <c r="D49">
        <f t="shared" si="0"/>
        <v>53.144100000000002</v>
      </c>
      <c r="E49">
        <f t="shared" si="1"/>
        <v>525.0258</v>
      </c>
      <c r="K49" s="3">
        <v>7.29</v>
      </c>
      <c r="L49" s="3">
        <v>72.02</v>
      </c>
    </row>
    <row r="50" spans="1:12" x14ac:dyDescent="0.25">
      <c r="A50" s="3">
        <v>71.42</v>
      </c>
      <c r="B50" s="3">
        <v>7.26</v>
      </c>
      <c r="D50">
        <f t="shared" si="0"/>
        <v>52.707599999999999</v>
      </c>
      <c r="E50">
        <f t="shared" si="1"/>
        <v>518.50919999999996</v>
      </c>
      <c r="K50" s="3">
        <v>7.26</v>
      </c>
      <c r="L50" s="3">
        <v>71.42</v>
      </c>
    </row>
    <row r="51" spans="1:12" x14ac:dyDescent="0.25">
      <c r="A51" s="3">
        <v>72.53</v>
      </c>
      <c r="B51" s="3">
        <v>7.73</v>
      </c>
      <c r="D51">
        <f t="shared" si="0"/>
        <v>59.752900000000004</v>
      </c>
      <c r="E51">
        <f t="shared" si="1"/>
        <v>560.65690000000006</v>
      </c>
      <c r="K51" s="3">
        <v>7.73</v>
      </c>
      <c r="L51" s="3">
        <v>72.53</v>
      </c>
    </row>
    <row r="52" spans="1:12" x14ac:dyDescent="0.25">
      <c r="A52" s="3">
        <v>74.099999999999994</v>
      </c>
      <c r="B52" s="3">
        <v>7.82</v>
      </c>
      <c r="D52">
        <f t="shared" si="0"/>
        <v>61.152400000000007</v>
      </c>
      <c r="E52">
        <f t="shared" si="1"/>
        <v>579.46199999999999</v>
      </c>
      <c r="K52" s="3">
        <v>7.82</v>
      </c>
      <c r="L52" s="3">
        <v>74.099999999999994</v>
      </c>
    </row>
    <row r="53" spans="1:12" x14ac:dyDescent="0.25">
      <c r="A53" s="3">
        <v>77.209999999999994</v>
      </c>
      <c r="B53" s="3">
        <v>9.35</v>
      </c>
      <c r="D53">
        <f t="shared" si="0"/>
        <v>87.422499999999999</v>
      </c>
      <c r="E53">
        <f t="shared" si="1"/>
        <v>721.91349999999989</v>
      </c>
      <c r="K53" s="3">
        <v>9.35</v>
      </c>
      <c r="L53" s="3">
        <v>77.209999999999994</v>
      </c>
    </row>
    <row r="54" spans="1:12" x14ac:dyDescent="0.25">
      <c r="A54" s="3">
        <v>74.319999999999993</v>
      </c>
      <c r="B54" s="3">
        <v>8.27</v>
      </c>
      <c r="D54">
        <f t="shared" si="0"/>
        <v>68.392899999999997</v>
      </c>
      <c r="E54">
        <f t="shared" si="1"/>
        <v>614.62639999999988</v>
      </c>
      <c r="K54" s="3">
        <v>8.27</v>
      </c>
      <c r="L54" s="3">
        <v>74.319999999999993</v>
      </c>
    </row>
    <row r="55" spans="1:12" x14ac:dyDescent="0.25">
      <c r="A55" s="3">
        <v>74.569999999999993</v>
      </c>
      <c r="B55" s="3">
        <v>8.2799999999999994</v>
      </c>
      <c r="D55">
        <f t="shared" si="0"/>
        <v>68.558399999999992</v>
      </c>
      <c r="E55">
        <f t="shared" si="1"/>
        <v>617.43959999999993</v>
      </c>
      <c r="K55" s="3">
        <v>8.2799999999999994</v>
      </c>
      <c r="L55" s="3">
        <v>74.569999999999993</v>
      </c>
    </row>
    <row r="56" spans="1:12" x14ac:dyDescent="0.25">
      <c r="A56" s="3">
        <v>75.67</v>
      </c>
      <c r="B56" s="3">
        <v>8.16</v>
      </c>
      <c r="D56">
        <f t="shared" si="0"/>
        <v>66.585599999999999</v>
      </c>
      <c r="E56">
        <f t="shared" si="1"/>
        <v>617.46720000000005</v>
      </c>
      <c r="K56" s="3">
        <v>8.16</v>
      </c>
      <c r="L56" s="3">
        <v>75.67</v>
      </c>
    </row>
    <row r="57" spans="1:12" x14ac:dyDescent="0.25">
      <c r="A57" s="3">
        <v>71.86</v>
      </c>
      <c r="B57" s="3">
        <v>7.53</v>
      </c>
      <c r="D57">
        <f t="shared" si="0"/>
        <v>56.700900000000004</v>
      </c>
      <c r="E57">
        <f t="shared" si="1"/>
        <v>541.10580000000004</v>
      </c>
      <c r="K57" s="3">
        <v>7.53</v>
      </c>
      <c r="L57" s="3">
        <v>71.86</v>
      </c>
    </row>
    <row r="58" spans="1:12" x14ac:dyDescent="0.25">
      <c r="A58" s="3">
        <v>74.34</v>
      </c>
      <c r="B58" s="3">
        <v>7.74</v>
      </c>
      <c r="D58">
        <f t="shared" si="0"/>
        <v>59.907600000000002</v>
      </c>
      <c r="E58">
        <f t="shared" si="1"/>
        <v>575.39160000000004</v>
      </c>
      <c r="K58" s="3">
        <v>7.74</v>
      </c>
      <c r="L58" s="3">
        <v>74.34</v>
      </c>
    </row>
    <row r="59" spans="1:12" x14ac:dyDescent="0.25">
      <c r="A59" s="3">
        <v>70.73</v>
      </c>
      <c r="B59" s="3">
        <v>7.08</v>
      </c>
      <c r="D59">
        <f t="shared" si="0"/>
        <v>50.126400000000004</v>
      </c>
      <c r="E59">
        <f t="shared" si="1"/>
        <v>500.76840000000004</v>
      </c>
      <c r="K59" s="3">
        <v>7.08</v>
      </c>
      <c r="L59" s="3">
        <v>70.73</v>
      </c>
    </row>
    <row r="60" spans="1:12" x14ac:dyDescent="0.25">
      <c r="A60" s="3">
        <v>71.95</v>
      </c>
      <c r="B60" s="3">
        <v>7.48</v>
      </c>
      <c r="D60">
        <f t="shared" si="0"/>
        <v>55.950400000000009</v>
      </c>
      <c r="E60">
        <f t="shared" si="1"/>
        <v>538.18600000000004</v>
      </c>
      <c r="K60" s="3">
        <v>7.48</v>
      </c>
      <c r="L60" s="3">
        <v>71.95</v>
      </c>
    </row>
    <row r="61" spans="1:12" x14ac:dyDescent="0.25">
      <c r="A61" s="3">
        <v>68.650000000000006</v>
      </c>
      <c r="B61" s="3">
        <v>6.56</v>
      </c>
      <c r="D61">
        <f t="shared" si="0"/>
        <v>43.033599999999993</v>
      </c>
      <c r="E61">
        <f t="shared" si="1"/>
        <v>450.34399999999999</v>
      </c>
      <c r="K61" s="3">
        <v>6.56</v>
      </c>
      <c r="L61" s="3">
        <v>68.650000000000006</v>
      </c>
    </row>
    <row r="62" spans="1:12" x14ac:dyDescent="0.25">
      <c r="A62" s="3">
        <v>71.7</v>
      </c>
      <c r="B62" s="3">
        <v>7.36</v>
      </c>
      <c r="D62">
        <f t="shared" si="0"/>
        <v>54.169600000000003</v>
      </c>
      <c r="E62">
        <f t="shared" si="1"/>
        <v>527.71199999999999</v>
      </c>
      <c r="K62" s="3">
        <v>7.36</v>
      </c>
      <c r="L62" s="3">
        <v>71.7</v>
      </c>
    </row>
    <row r="63" spans="1:12" x14ac:dyDescent="0.25">
      <c r="A63" s="3">
        <v>70.180000000000007</v>
      </c>
      <c r="B63" s="3">
        <v>6.41</v>
      </c>
      <c r="D63">
        <f t="shared" si="0"/>
        <v>41.088100000000004</v>
      </c>
      <c r="E63">
        <f t="shared" si="1"/>
        <v>449.85380000000004</v>
      </c>
      <c r="K63" s="3">
        <v>6.41</v>
      </c>
      <c r="L63" s="3">
        <v>70.180000000000007</v>
      </c>
    </row>
    <row r="64" spans="1:12" x14ac:dyDescent="0.25">
      <c r="A64" s="3">
        <v>82.15</v>
      </c>
      <c r="B64" s="3">
        <v>11.43</v>
      </c>
      <c r="D64">
        <f t="shared" si="0"/>
        <v>130.64490000000001</v>
      </c>
      <c r="E64">
        <f t="shared" si="1"/>
        <v>938.97450000000003</v>
      </c>
      <c r="K64" s="3">
        <v>11.43</v>
      </c>
      <c r="L64" s="3">
        <v>82.15</v>
      </c>
    </row>
    <row r="65" spans="1:12" x14ac:dyDescent="0.25">
      <c r="A65" s="3">
        <v>84.41</v>
      </c>
      <c r="B65" s="3">
        <v>11.25</v>
      </c>
      <c r="D65">
        <f t="shared" si="0"/>
        <v>126.5625</v>
      </c>
      <c r="E65">
        <f t="shared" si="1"/>
        <v>949.61249999999995</v>
      </c>
      <c r="K65" s="3">
        <v>11.25</v>
      </c>
      <c r="L65" s="3">
        <v>84.41</v>
      </c>
    </row>
    <row r="66" spans="1:12" x14ac:dyDescent="0.25">
      <c r="A66" s="3">
        <v>85.72</v>
      </c>
      <c r="B66" s="3">
        <v>11.48</v>
      </c>
      <c r="D66">
        <f t="shared" si="0"/>
        <v>131.79040000000001</v>
      </c>
      <c r="E66">
        <f t="shared" si="1"/>
        <v>984.06560000000002</v>
      </c>
      <c r="K66" s="3">
        <v>11.48</v>
      </c>
      <c r="L66" s="3">
        <v>85.72</v>
      </c>
    </row>
    <row r="67" spans="1:12" x14ac:dyDescent="0.25">
      <c r="A67" s="3">
        <v>85.24</v>
      </c>
      <c r="B67" s="3">
        <v>11.05</v>
      </c>
      <c r="D67">
        <f t="shared" ref="D67:D120" si="2">B67*B67</f>
        <v>122.10250000000002</v>
      </c>
      <c r="E67">
        <f t="shared" ref="E67:E120" si="3">A67*B67</f>
        <v>941.90200000000004</v>
      </c>
      <c r="K67" s="3">
        <v>11.05</v>
      </c>
      <c r="L67" s="3">
        <v>85.24</v>
      </c>
    </row>
    <row r="68" spans="1:12" x14ac:dyDescent="0.25">
      <c r="A68" s="3">
        <v>77.209999999999994</v>
      </c>
      <c r="B68" s="3">
        <v>9.34</v>
      </c>
      <c r="D68">
        <f t="shared" si="2"/>
        <v>87.235599999999991</v>
      </c>
      <c r="E68">
        <f t="shared" si="3"/>
        <v>721.14139999999998</v>
      </c>
      <c r="K68" s="3">
        <v>9.34</v>
      </c>
      <c r="L68" s="3">
        <v>77.209999999999994</v>
      </c>
    </row>
    <row r="69" spans="1:12" x14ac:dyDescent="0.25">
      <c r="A69" s="3">
        <v>77.5</v>
      </c>
      <c r="B69" s="3">
        <v>9.2799999999999994</v>
      </c>
      <c r="D69">
        <f t="shared" si="2"/>
        <v>86.118399999999994</v>
      </c>
      <c r="E69">
        <f t="shared" si="3"/>
        <v>719.19999999999993</v>
      </c>
      <c r="K69" s="3">
        <v>9.2799999999999994</v>
      </c>
      <c r="L69" s="3">
        <v>77.5</v>
      </c>
    </row>
    <row r="70" spans="1:12" x14ac:dyDescent="0.25">
      <c r="A70" s="3">
        <v>76.180000000000007</v>
      </c>
      <c r="B70" s="3">
        <v>9.1999999999999993</v>
      </c>
      <c r="D70">
        <f t="shared" si="2"/>
        <v>84.639999999999986</v>
      </c>
      <c r="E70">
        <f t="shared" si="3"/>
        <v>700.85599999999999</v>
      </c>
      <c r="K70" s="3">
        <v>9.1999999999999993</v>
      </c>
      <c r="L70" s="3">
        <v>76.180000000000007</v>
      </c>
    </row>
    <row r="71" spans="1:12" x14ac:dyDescent="0.25">
      <c r="A71" s="3">
        <v>82.05</v>
      </c>
      <c r="B71" s="3">
        <v>9.81</v>
      </c>
      <c r="D71">
        <f t="shared" si="2"/>
        <v>96.236100000000008</v>
      </c>
      <c r="E71">
        <f t="shared" si="3"/>
        <v>804.91049999999996</v>
      </c>
      <c r="K71" s="3">
        <v>9.81</v>
      </c>
      <c r="L71" s="3">
        <v>82.05</v>
      </c>
    </row>
    <row r="72" spans="1:12" x14ac:dyDescent="0.25">
      <c r="A72" s="3">
        <v>72.14</v>
      </c>
      <c r="B72" s="3">
        <v>7.35</v>
      </c>
      <c r="D72">
        <f t="shared" si="2"/>
        <v>54.022499999999994</v>
      </c>
      <c r="E72">
        <f t="shared" si="3"/>
        <v>530.22899999999993</v>
      </c>
      <c r="K72" s="3">
        <v>7.35</v>
      </c>
      <c r="L72" s="3">
        <v>72.14</v>
      </c>
    </row>
    <row r="73" spans="1:12" x14ac:dyDescent="0.25">
      <c r="A73" s="3">
        <v>85.71</v>
      </c>
      <c r="B73" s="3">
        <v>11.33</v>
      </c>
      <c r="D73">
        <f t="shared" si="2"/>
        <v>128.3689</v>
      </c>
      <c r="E73">
        <f t="shared" si="3"/>
        <v>971.09429999999998</v>
      </c>
      <c r="K73" s="3">
        <v>11.33</v>
      </c>
      <c r="L73" s="3">
        <v>85.71</v>
      </c>
    </row>
    <row r="74" spans="1:12" x14ac:dyDescent="0.25">
      <c r="A74" s="3">
        <v>89.1</v>
      </c>
      <c r="B74" s="3">
        <v>12.12</v>
      </c>
      <c r="D74">
        <f t="shared" si="2"/>
        <v>146.89439999999999</v>
      </c>
      <c r="E74">
        <f t="shared" si="3"/>
        <v>1079.8919999999998</v>
      </c>
      <c r="K74" s="3">
        <v>12.12</v>
      </c>
      <c r="L74" s="3">
        <v>89.1</v>
      </c>
    </row>
    <row r="75" spans="1:12" x14ac:dyDescent="0.25">
      <c r="A75" s="3">
        <v>71.489999999999995</v>
      </c>
      <c r="B75" s="3">
        <v>7.9</v>
      </c>
      <c r="D75">
        <f t="shared" si="2"/>
        <v>62.410000000000004</v>
      </c>
      <c r="E75">
        <f t="shared" si="3"/>
        <v>564.77099999999996</v>
      </c>
      <c r="K75" s="3">
        <v>7.9</v>
      </c>
      <c r="L75" s="3">
        <v>71.489999999999995</v>
      </c>
    </row>
    <row r="76" spans="1:12" x14ac:dyDescent="0.25">
      <c r="A76" s="3">
        <v>73.7</v>
      </c>
      <c r="B76" s="3">
        <v>7.8</v>
      </c>
      <c r="D76">
        <f t="shared" si="2"/>
        <v>60.839999999999996</v>
      </c>
      <c r="E76">
        <f t="shared" si="3"/>
        <v>574.86</v>
      </c>
      <c r="K76" s="3">
        <v>7.8</v>
      </c>
      <c r="L76" s="3">
        <v>73.7</v>
      </c>
    </row>
    <row r="77" spans="1:12" x14ac:dyDescent="0.25">
      <c r="A77" s="3">
        <v>72.47</v>
      </c>
      <c r="B77" s="3">
        <v>7.92</v>
      </c>
      <c r="D77">
        <f t="shared" si="2"/>
        <v>62.726399999999998</v>
      </c>
      <c r="E77">
        <f t="shared" si="3"/>
        <v>573.9624</v>
      </c>
      <c r="K77" s="3">
        <v>7.92</v>
      </c>
      <c r="L77" s="3">
        <v>72.47</v>
      </c>
    </row>
    <row r="78" spans="1:12" x14ac:dyDescent="0.25">
      <c r="A78" s="3">
        <v>75.13</v>
      </c>
      <c r="B78" s="3">
        <v>8.68</v>
      </c>
      <c r="D78">
        <f t="shared" si="2"/>
        <v>75.342399999999998</v>
      </c>
      <c r="E78">
        <f t="shared" si="3"/>
        <v>652.12839999999994</v>
      </c>
      <c r="K78" s="3">
        <v>8.68</v>
      </c>
      <c r="L78" s="3">
        <v>75.13</v>
      </c>
    </row>
    <row r="79" spans="1:12" x14ac:dyDescent="0.25">
      <c r="A79" s="3">
        <v>73.44</v>
      </c>
      <c r="B79" s="3">
        <v>7.87</v>
      </c>
      <c r="D79">
        <f t="shared" si="2"/>
        <v>61.936900000000001</v>
      </c>
      <c r="E79">
        <f t="shared" si="3"/>
        <v>577.97280000000001</v>
      </c>
      <c r="K79" s="3">
        <v>7.87</v>
      </c>
      <c r="L79" s="3">
        <v>73.44</v>
      </c>
    </row>
    <row r="80" spans="1:12" x14ac:dyDescent="0.25">
      <c r="A80" s="3">
        <v>75.180000000000007</v>
      </c>
      <c r="B80" s="3">
        <v>8.26</v>
      </c>
      <c r="D80">
        <f t="shared" si="2"/>
        <v>68.227599999999995</v>
      </c>
      <c r="E80">
        <f t="shared" si="3"/>
        <v>620.98680000000002</v>
      </c>
      <c r="K80" s="3">
        <v>8.26</v>
      </c>
      <c r="L80" s="3">
        <v>75.180000000000007</v>
      </c>
    </row>
    <row r="81" spans="1:12" x14ac:dyDescent="0.25">
      <c r="A81" s="3">
        <v>73.53</v>
      </c>
      <c r="B81" s="3">
        <v>7.8</v>
      </c>
      <c r="D81">
        <f t="shared" si="2"/>
        <v>60.839999999999996</v>
      </c>
      <c r="E81">
        <f t="shared" si="3"/>
        <v>573.53399999999999</v>
      </c>
      <c r="K81" s="3">
        <v>7.8</v>
      </c>
      <c r="L81" s="3">
        <v>73.53</v>
      </c>
    </row>
    <row r="82" spans="1:12" x14ac:dyDescent="0.25">
      <c r="A82" s="3">
        <v>70.31</v>
      </c>
      <c r="B82" s="3">
        <v>7.27</v>
      </c>
      <c r="D82">
        <f t="shared" si="2"/>
        <v>52.852899999999991</v>
      </c>
      <c r="E82">
        <f t="shared" si="3"/>
        <v>511.15370000000001</v>
      </c>
      <c r="K82" s="3">
        <v>7.27</v>
      </c>
      <c r="L82" s="3">
        <v>70.31</v>
      </c>
    </row>
    <row r="83" spans="1:12" x14ac:dyDescent="0.25">
      <c r="A83" s="3">
        <v>70.930000000000007</v>
      </c>
      <c r="B83" s="3">
        <v>6.54</v>
      </c>
      <c r="D83">
        <f t="shared" si="2"/>
        <v>42.771599999999999</v>
      </c>
      <c r="E83">
        <f t="shared" si="3"/>
        <v>463.88220000000007</v>
      </c>
      <c r="K83" s="3">
        <v>6.54</v>
      </c>
      <c r="L83" s="3">
        <v>70.930000000000007</v>
      </c>
    </row>
    <row r="84" spans="1:12" x14ac:dyDescent="0.25">
      <c r="A84" s="3">
        <v>74.3</v>
      </c>
      <c r="B84" s="3">
        <v>7.78</v>
      </c>
      <c r="D84">
        <f t="shared" si="2"/>
        <v>60.528400000000005</v>
      </c>
      <c r="E84">
        <f t="shared" si="3"/>
        <v>578.05399999999997</v>
      </c>
      <c r="K84" s="3">
        <v>7.78</v>
      </c>
      <c r="L84" s="3">
        <v>74.3</v>
      </c>
    </row>
    <row r="85" spans="1:12" x14ac:dyDescent="0.25">
      <c r="A85" s="3">
        <v>71.22</v>
      </c>
      <c r="B85" s="3">
        <v>6.53</v>
      </c>
      <c r="D85">
        <f t="shared" si="2"/>
        <v>42.640900000000002</v>
      </c>
      <c r="E85">
        <f t="shared" si="3"/>
        <v>465.06659999999999</v>
      </c>
      <c r="K85" s="3">
        <v>6.53</v>
      </c>
      <c r="L85" s="3">
        <v>71.22</v>
      </c>
    </row>
    <row r="86" spans="1:12" x14ac:dyDescent="0.25">
      <c r="A86" s="3">
        <v>71.22</v>
      </c>
      <c r="B86" s="3">
        <v>6.93</v>
      </c>
      <c r="D86">
        <f t="shared" si="2"/>
        <v>48.024899999999995</v>
      </c>
      <c r="E86">
        <f t="shared" si="3"/>
        <v>493.55459999999999</v>
      </c>
      <c r="K86" s="3">
        <v>6.93</v>
      </c>
      <c r="L86" s="3">
        <v>71.22</v>
      </c>
    </row>
    <row r="87" spans="1:12" x14ac:dyDescent="0.25">
      <c r="A87" s="3">
        <v>70.849999999999994</v>
      </c>
      <c r="B87" s="3">
        <v>6.31</v>
      </c>
      <c r="D87">
        <f t="shared" si="2"/>
        <v>39.816099999999992</v>
      </c>
      <c r="E87">
        <f t="shared" si="3"/>
        <v>447.06349999999992</v>
      </c>
      <c r="K87" s="3">
        <v>6.31</v>
      </c>
      <c r="L87" s="3">
        <v>70.849999999999994</v>
      </c>
    </row>
    <row r="88" spans="1:12" x14ac:dyDescent="0.25">
      <c r="A88" s="3">
        <v>72.36</v>
      </c>
      <c r="B88" s="3">
        <v>7.46</v>
      </c>
      <c r="D88">
        <f t="shared" si="2"/>
        <v>55.651600000000002</v>
      </c>
      <c r="E88">
        <f t="shared" si="3"/>
        <v>539.80560000000003</v>
      </c>
      <c r="K88" s="3">
        <v>7.46</v>
      </c>
      <c r="L88" s="3">
        <v>72.36</v>
      </c>
    </row>
    <row r="89" spans="1:12" x14ac:dyDescent="0.25">
      <c r="A89" s="3">
        <v>82.67</v>
      </c>
      <c r="B89" s="3">
        <v>10.91</v>
      </c>
      <c r="D89">
        <f t="shared" si="2"/>
        <v>119.02810000000001</v>
      </c>
      <c r="E89">
        <f t="shared" si="3"/>
        <v>901.92970000000003</v>
      </c>
      <c r="K89" s="3">
        <v>10.91</v>
      </c>
      <c r="L89" s="3">
        <v>82.67</v>
      </c>
    </row>
    <row r="90" spans="1:12" x14ac:dyDescent="0.25">
      <c r="A90" s="3">
        <v>76.69</v>
      </c>
      <c r="B90" s="3">
        <v>9.1300000000000008</v>
      </c>
      <c r="D90">
        <f t="shared" si="2"/>
        <v>83.35690000000001</v>
      </c>
      <c r="E90">
        <f t="shared" si="3"/>
        <v>700.17970000000003</v>
      </c>
      <c r="K90" s="3">
        <v>9.1300000000000008</v>
      </c>
      <c r="L90" s="3">
        <v>76.69</v>
      </c>
    </row>
    <row r="91" spans="1:12" x14ac:dyDescent="0.25">
      <c r="A91" s="3">
        <v>75.67</v>
      </c>
      <c r="B91" s="3">
        <v>8.7799999999999994</v>
      </c>
      <c r="D91">
        <f t="shared" si="2"/>
        <v>77.088399999999993</v>
      </c>
      <c r="E91">
        <f t="shared" si="3"/>
        <v>664.38259999999991</v>
      </c>
      <c r="K91" s="3">
        <v>8.7799999999999994</v>
      </c>
      <c r="L91" s="3">
        <v>75.67</v>
      </c>
    </row>
    <row r="92" spans="1:12" x14ac:dyDescent="0.25">
      <c r="A92" s="3">
        <v>75.239999999999995</v>
      </c>
      <c r="B92" s="3">
        <v>8.25</v>
      </c>
      <c r="D92">
        <f t="shared" si="2"/>
        <v>68.0625</v>
      </c>
      <c r="E92">
        <f t="shared" si="3"/>
        <v>620.7299999999999</v>
      </c>
      <c r="K92" s="3">
        <v>8.25</v>
      </c>
      <c r="L92" s="3">
        <v>75.239999999999995</v>
      </c>
    </row>
    <row r="93" spans="1:12" x14ac:dyDescent="0.25">
      <c r="A93" s="3">
        <v>74.81</v>
      </c>
      <c r="B93" s="3">
        <v>8.1999999999999993</v>
      </c>
      <c r="D93">
        <f t="shared" si="2"/>
        <v>67.239999999999995</v>
      </c>
      <c r="E93">
        <f t="shared" si="3"/>
        <v>613.44200000000001</v>
      </c>
      <c r="K93" s="3">
        <v>8.1999999999999993</v>
      </c>
      <c r="L93" s="3">
        <v>74.81</v>
      </c>
    </row>
    <row r="94" spans="1:12" x14ac:dyDescent="0.25">
      <c r="A94" s="3">
        <v>76.77</v>
      </c>
      <c r="B94" s="3">
        <v>8.69</v>
      </c>
      <c r="D94">
        <f t="shared" si="2"/>
        <v>75.516099999999994</v>
      </c>
      <c r="E94">
        <f t="shared" si="3"/>
        <v>667.1312999999999</v>
      </c>
      <c r="K94" s="3">
        <v>8.69</v>
      </c>
      <c r="L94" s="3">
        <v>76.77</v>
      </c>
    </row>
    <row r="95" spans="1:12" x14ac:dyDescent="0.25">
      <c r="A95" s="3">
        <v>73.91</v>
      </c>
      <c r="B95" s="3">
        <v>7.84</v>
      </c>
      <c r="D95">
        <f t="shared" si="2"/>
        <v>61.465599999999995</v>
      </c>
      <c r="E95">
        <f t="shared" si="3"/>
        <v>579.45439999999996</v>
      </c>
      <c r="K95" s="3">
        <v>7.84</v>
      </c>
      <c r="L95" s="3">
        <v>73.91</v>
      </c>
    </row>
    <row r="96" spans="1:12" x14ac:dyDescent="0.25">
      <c r="A96" s="3">
        <v>72.75</v>
      </c>
      <c r="B96" s="3">
        <v>7.59</v>
      </c>
      <c r="D96">
        <f t="shared" si="2"/>
        <v>57.6081</v>
      </c>
      <c r="E96">
        <f t="shared" si="3"/>
        <v>552.17250000000001</v>
      </c>
      <c r="K96" s="3">
        <v>7.59</v>
      </c>
      <c r="L96" s="3">
        <v>72.75</v>
      </c>
    </row>
    <row r="97" spans="1:12" x14ac:dyDescent="0.25">
      <c r="A97" s="3">
        <v>72.31</v>
      </c>
      <c r="B97" s="3">
        <v>7.53</v>
      </c>
      <c r="D97">
        <f t="shared" si="2"/>
        <v>56.700900000000004</v>
      </c>
      <c r="E97">
        <f t="shared" si="3"/>
        <v>544.49430000000007</v>
      </c>
      <c r="K97" s="3">
        <v>7.53</v>
      </c>
      <c r="L97" s="3">
        <v>72.31</v>
      </c>
    </row>
    <row r="98" spans="1:12" x14ac:dyDescent="0.25">
      <c r="A98" s="3">
        <v>75.900000000000006</v>
      </c>
      <c r="B98" s="3">
        <v>8.48</v>
      </c>
      <c r="D98">
        <f t="shared" si="2"/>
        <v>71.91040000000001</v>
      </c>
      <c r="E98">
        <f t="shared" si="3"/>
        <v>643.63200000000006</v>
      </c>
      <c r="K98" s="3">
        <v>8.48</v>
      </c>
      <c r="L98" s="3">
        <v>75.900000000000006</v>
      </c>
    </row>
    <row r="99" spans="1:12" x14ac:dyDescent="0.25">
      <c r="A99" s="3">
        <v>78.930000000000007</v>
      </c>
      <c r="B99" s="3">
        <v>10.029999999999999</v>
      </c>
      <c r="D99">
        <f t="shared" si="2"/>
        <v>100.60089999999998</v>
      </c>
      <c r="E99">
        <f t="shared" si="3"/>
        <v>791.66790000000003</v>
      </c>
      <c r="K99" s="3">
        <v>10.029999999999999</v>
      </c>
      <c r="L99" s="3">
        <v>78.930000000000007</v>
      </c>
    </row>
    <row r="100" spans="1:12" x14ac:dyDescent="0.25">
      <c r="A100" s="3">
        <v>67.33</v>
      </c>
      <c r="B100" s="3">
        <v>6.01</v>
      </c>
      <c r="D100">
        <f t="shared" si="2"/>
        <v>36.120100000000001</v>
      </c>
      <c r="E100">
        <f t="shared" si="3"/>
        <v>404.6533</v>
      </c>
      <c r="K100" s="3">
        <v>6.01</v>
      </c>
      <c r="L100" s="3">
        <v>67.33</v>
      </c>
    </row>
    <row r="101" spans="1:12" x14ac:dyDescent="0.25">
      <c r="A101" s="3">
        <v>66.72</v>
      </c>
      <c r="B101" s="3">
        <v>5.08</v>
      </c>
      <c r="D101">
        <f t="shared" si="2"/>
        <v>25.8064</v>
      </c>
      <c r="E101">
        <f t="shared" si="3"/>
        <v>338.93759999999997</v>
      </c>
      <c r="K101" s="3">
        <v>5.08</v>
      </c>
      <c r="L101" s="3">
        <v>66.72</v>
      </c>
    </row>
    <row r="102" spans="1:12" x14ac:dyDescent="0.25">
      <c r="A102" s="3">
        <v>70.849999999999994</v>
      </c>
      <c r="B102" s="3">
        <v>7.17</v>
      </c>
      <c r="D102">
        <f t="shared" si="2"/>
        <v>51.408899999999996</v>
      </c>
      <c r="E102">
        <f t="shared" si="3"/>
        <v>507.99449999999996</v>
      </c>
      <c r="K102" s="3">
        <v>7.17</v>
      </c>
      <c r="L102" s="3">
        <v>70.849999999999994</v>
      </c>
    </row>
    <row r="103" spans="1:12" x14ac:dyDescent="0.25">
      <c r="A103" s="3">
        <v>69.78</v>
      </c>
      <c r="B103" s="3">
        <v>6.1</v>
      </c>
      <c r="D103">
        <f t="shared" si="2"/>
        <v>37.209999999999994</v>
      </c>
      <c r="E103">
        <f t="shared" si="3"/>
        <v>425.65799999999996</v>
      </c>
      <c r="K103" s="3">
        <v>6.1</v>
      </c>
      <c r="L103" s="3">
        <v>69.78</v>
      </c>
    </row>
    <row r="104" spans="1:12" x14ac:dyDescent="0.25">
      <c r="A104" s="3">
        <v>81.88</v>
      </c>
      <c r="B104" s="3">
        <v>10.92</v>
      </c>
      <c r="D104">
        <f t="shared" si="2"/>
        <v>119.24639999999999</v>
      </c>
      <c r="E104">
        <f t="shared" si="3"/>
        <v>894.12959999999998</v>
      </c>
      <c r="K104" s="3">
        <v>10.92</v>
      </c>
      <c r="L104" s="3">
        <v>81.88</v>
      </c>
    </row>
    <row r="105" spans="1:12" x14ac:dyDescent="0.25">
      <c r="A105" s="3">
        <v>81.44</v>
      </c>
      <c r="B105" s="3">
        <v>10.82</v>
      </c>
      <c r="D105">
        <f t="shared" si="2"/>
        <v>117.0724</v>
      </c>
      <c r="E105">
        <f t="shared" si="3"/>
        <v>881.18079999999998</v>
      </c>
      <c r="K105" s="3">
        <v>10.82</v>
      </c>
      <c r="L105" s="3">
        <v>81.44</v>
      </c>
    </row>
    <row r="106" spans="1:12" x14ac:dyDescent="0.25">
      <c r="A106" s="3">
        <v>84.68</v>
      </c>
      <c r="B106" s="3">
        <v>11.14</v>
      </c>
      <c r="D106">
        <f t="shared" si="2"/>
        <v>124.09960000000001</v>
      </c>
      <c r="E106">
        <f t="shared" si="3"/>
        <v>943.3352000000001</v>
      </c>
      <c r="K106" s="3">
        <v>11.14</v>
      </c>
      <c r="L106" s="3">
        <v>84.68</v>
      </c>
    </row>
    <row r="107" spans="1:12" x14ac:dyDescent="0.25">
      <c r="A107" s="3">
        <v>77.790000000000006</v>
      </c>
      <c r="B107" s="3">
        <v>9.7200000000000006</v>
      </c>
      <c r="D107">
        <f t="shared" si="2"/>
        <v>94.478400000000008</v>
      </c>
      <c r="E107">
        <f t="shared" si="3"/>
        <v>756.11880000000008</v>
      </c>
      <c r="K107" s="3">
        <v>9.7200000000000006</v>
      </c>
      <c r="L107" s="3">
        <v>77.790000000000006</v>
      </c>
    </row>
    <row r="108" spans="1:12" x14ac:dyDescent="0.25">
      <c r="A108" s="3">
        <v>78.900000000000006</v>
      </c>
      <c r="B108" s="3">
        <v>9.94</v>
      </c>
      <c r="D108">
        <f t="shared" si="2"/>
        <v>98.803599999999989</v>
      </c>
      <c r="E108">
        <f t="shared" si="3"/>
        <v>784.26599999999996</v>
      </c>
      <c r="K108" s="3">
        <v>9.94</v>
      </c>
      <c r="L108" s="3">
        <v>78.900000000000006</v>
      </c>
    </row>
    <row r="109" spans="1:12" x14ac:dyDescent="0.25">
      <c r="A109" s="3">
        <v>81.760000000000005</v>
      </c>
      <c r="B109" s="3">
        <v>11.38</v>
      </c>
      <c r="D109">
        <f t="shared" si="2"/>
        <v>129.5044</v>
      </c>
      <c r="E109">
        <f t="shared" si="3"/>
        <v>930.42880000000014</v>
      </c>
      <c r="K109" s="3">
        <v>11.38</v>
      </c>
      <c r="L109" s="3">
        <v>81.760000000000005</v>
      </c>
    </row>
    <row r="110" spans="1:12" x14ac:dyDescent="0.25">
      <c r="A110" s="3">
        <v>84.51</v>
      </c>
      <c r="B110" s="3">
        <v>12.11</v>
      </c>
      <c r="D110">
        <f t="shared" si="2"/>
        <v>146.65209999999999</v>
      </c>
      <c r="E110">
        <f t="shared" si="3"/>
        <v>1023.4161</v>
      </c>
      <c r="K110" s="3">
        <v>12.11</v>
      </c>
      <c r="L110" s="3">
        <v>84.51</v>
      </c>
    </row>
    <row r="111" spans="1:12" x14ac:dyDescent="0.25">
      <c r="A111" s="3">
        <v>84.69</v>
      </c>
      <c r="B111" s="3">
        <v>10.89</v>
      </c>
      <c r="D111">
        <f t="shared" si="2"/>
        <v>118.59210000000002</v>
      </c>
      <c r="E111">
        <f t="shared" si="3"/>
        <v>922.27409999999998</v>
      </c>
      <c r="K111" s="3">
        <v>10.89</v>
      </c>
      <c r="L111" s="3">
        <v>84.69</v>
      </c>
    </row>
    <row r="112" spans="1:12" x14ac:dyDescent="0.25">
      <c r="A112" s="3">
        <v>79.69</v>
      </c>
      <c r="B112" s="3">
        <v>9.8699999999999992</v>
      </c>
      <c r="D112">
        <f t="shared" si="2"/>
        <v>97.416899999999984</v>
      </c>
      <c r="E112">
        <f t="shared" si="3"/>
        <v>786.54029999999989</v>
      </c>
      <c r="K112" s="3">
        <v>9.8699999999999992</v>
      </c>
      <c r="L112" s="3">
        <v>79.69</v>
      </c>
    </row>
    <row r="113" spans="1:12" x14ac:dyDescent="0.25">
      <c r="A113" s="3">
        <v>70.88</v>
      </c>
      <c r="B113" s="3">
        <v>7.16</v>
      </c>
      <c r="D113">
        <f t="shared" si="2"/>
        <v>51.265599999999999</v>
      </c>
      <c r="E113">
        <f t="shared" si="3"/>
        <v>507.50079999999997</v>
      </c>
      <c r="K113" s="3">
        <v>7.16</v>
      </c>
      <c r="L113" s="3">
        <v>70.88</v>
      </c>
    </row>
    <row r="114" spans="1:12" x14ac:dyDescent="0.25">
      <c r="A114" s="3">
        <v>68.33</v>
      </c>
      <c r="B114" s="3">
        <v>6.61</v>
      </c>
      <c r="D114">
        <f t="shared" si="2"/>
        <v>43.692100000000003</v>
      </c>
      <c r="E114">
        <f t="shared" si="3"/>
        <v>451.66129999999998</v>
      </c>
      <c r="K114" s="3">
        <v>6.61</v>
      </c>
      <c r="L114" s="3">
        <v>68.33</v>
      </c>
    </row>
    <row r="115" spans="1:12" x14ac:dyDescent="0.25">
      <c r="A115" s="3">
        <v>76.19</v>
      </c>
      <c r="B115" s="3">
        <v>9.06</v>
      </c>
      <c r="D115">
        <f t="shared" si="2"/>
        <v>82.083600000000004</v>
      </c>
      <c r="E115">
        <f t="shared" si="3"/>
        <v>690.28139999999996</v>
      </c>
      <c r="K115" s="3">
        <v>9.06</v>
      </c>
      <c r="L115" s="3">
        <v>76.19</v>
      </c>
    </row>
    <row r="116" spans="1:12" x14ac:dyDescent="0.25">
      <c r="A116" s="3">
        <v>73.28</v>
      </c>
      <c r="B116" s="3">
        <v>7.88</v>
      </c>
      <c r="D116">
        <f t="shared" si="2"/>
        <v>62.0944</v>
      </c>
      <c r="E116">
        <f t="shared" si="3"/>
        <v>577.44640000000004</v>
      </c>
      <c r="K116" s="3">
        <v>7.88</v>
      </c>
      <c r="L116" s="3">
        <v>73.28</v>
      </c>
    </row>
    <row r="117" spans="1:12" x14ac:dyDescent="0.25">
      <c r="A117" s="3">
        <v>81.53</v>
      </c>
      <c r="B117" s="3">
        <v>11.14</v>
      </c>
      <c r="D117">
        <f t="shared" si="2"/>
        <v>124.09960000000001</v>
      </c>
      <c r="E117">
        <f t="shared" si="3"/>
        <v>908.24420000000009</v>
      </c>
      <c r="K117" s="3">
        <v>11.14</v>
      </c>
      <c r="L117" s="3">
        <v>81.53</v>
      </c>
    </row>
    <row r="118" spans="1:12" x14ac:dyDescent="0.25">
      <c r="A118" s="3">
        <v>78.83</v>
      </c>
      <c r="B118" s="3">
        <v>10.39</v>
      </c>
      <c r="D118">
        <f t="shared" si="2"/>
        <v>107.95210000000002</v>
      </c>
      <c r="E118">
        <f t="shared" si="3"/>
        <v>819.04370000000006</v>
      </c>
      <c r="K118" s="3">
        <v>10.39</v>
      </c>
      <c r="L118" s="3">
        <v>78.83</v>
      </c>
    </row>
    <row r="119" spans="1:12" x14ac:dyDescent="0.25">
      <c r="A119" s="3">
        <v>76.900000000000006</v>
      </c>
      <c r="B119" s="3">
        <v>8.93</v>
      </c>
      <c r="D119">
        <f t="shared" si="2"/>
        <v>79.744900000000001</v>
      </c>
      <c r="E119">
        <f t="shared" si="3"/>
        <v>686.71699999999998</v>
      </c>
      <c r="K119" s="3">
        <v>8.93</v>
      </c>
      <c r="L119" s="3">
        <v>76.900000000000006</v>
      </c>
    </row>
    <row r="120" spans="1:12" x14ac:dyDescent="0.25">
      <c r="A120" s="3">
        <v>84.16</v>
      </c>
      <c r="B120" s="3">
        <v>11.86</v>
      </c>
      <c r="D120">
        <f t="shared" si="2"/>
        <v>140.65959999999998</v>
      </c>
      <c r="E120">
        <f t="shared" si="3"/>
        <v>998.13759999999991</v>
      </c>
      <c r="K120" s="3">
        <v>11.86</v>
      </c>
      <c r="L120" s="3">
        <v>84.16</v>
      </c>
    </row>
    <row r="124" spans="1:12" x14ac:dyDescent="0.25">
      <c r="A124">
        <f>SUM(A2:A120)</f>
        <v>9013.7900000000045</v>
      </c>
      <c r="B124">
        <f>SUM(B2:B120)</f>
        <v>1051.0499999999995</v>
      </c>
      <c r="D124">
        <f>SUM(D2:D120)</f>
        <v>9602.436700000002</v>
      </c>
      <c r="E124">
        <f>SUM(E2:E120)</f>
        <v>80530.6446</v>
      </c>
    </row>
    <row r="127" spans="1:12" x14ac:dyDescent="0.25">
      <c r="A127">
        <f>AVERAGE(A2:A120)</f>
        <v>75.746134453781551</v>
      </c>
      <c r="B127">
        <f>AVERAGE(B2:B120)</f>
        <v>8.8323529411764667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Aurell</dc:creator>
  <cp:lastModifiedBy>Dylan Aurell</cp:lastModifiedBy>
  <dcterms:created xsi:type="dcterms:W3CDTF">2026-02-03T07:39:56Z</dcterms:created>
  <dcterms:modified xsi:type="dcterms:W3CDTF">2026-02-03T13:26:07Z</dcterms:modified>
</cp:coreProperties>
</file>